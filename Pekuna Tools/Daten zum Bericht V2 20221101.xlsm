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showInkAnnotation="0" codeName="DieseArbeitsmappe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stuart/Desktop/dzb/Pekuna Tools/"/>
    </mc:Choice>
  </mc:AlternateContent>
  <xr:revisionPtr revIDLastSave="0" documentId="13_ncr:1_{A947E479-042A-F64B-8658-E79A801443B6}" xr6:coauthVersionLast="47" xr6:coauthVersionMax="47" xr10:uidLastSave="{00000000-0000-0000-0000-000000000000}"/>
  <bookViews>
    <workbookView xWindow="0" yWindow="500" windowWidth="28800" windowHeight="16060" tabRatio="500" firstSheet="5" activeTab="10" xr2:uid="{00000000-000D-0000-FFFF-FFFF00000000}"/>
  </bookViews>
  <sheets>
    <sheet name="Zusammenfassung" sheetId="6" r:id="rId1"/>
    <sheet name="Exchange Liste" sheetId="20" r:id="rId2"/>
    <sheet name="Kapitalertragsbericht - Verkäuf" sheetId="12" r:id="rId3"/>
    <sheet name="Fehlende Anschaffungen" sheetId="5" r:id="rId4"/>
    <sheet name="Einkommensbericht" sheetId="8" r:id="rId5"/>
    <sheet name="Spenden_Schenkungen" sheetId="10" r:id="rId6"/>
    <sheet name="Gebühren" sheetId="22" r:id="rId7"/>
    <sheet name="Gestohlen_Verloren" sheetId="14" r:id="rId8"/>
    <sheet name="Nicht verkaufte Positionen" sheetId="2" r:id="rId9"/>
    <sheet name="Nicht verkaufte Datum" sheetId="24" r:id="rId10"/>
    <sheet name="Nicht verkaufte gruppiert" sheetId="23" r:id="rId11"/>
    <sheet name="Termingeschäfte" sheetId="9" r:id="rId12"/>
    <sheet name="Transaktionsliste" sheetId="17" r:id="rId13"/>
  </sheets>
  <definedNames>
    <definedName name="_xlnm.Print_Area" localSheetId="4">Einkommensbericht!$A$1:$H$15</definedName>
    <definedName name="_xlnm.Print_Area" localSheetId="3">'Fehlende Anschaffungen'!$A$1:$K$8</definedName>
    <definedName name="_xlnm.Print_Area" localSheetId="6">Gebühren!$A$1:$H$10</definedName>
    <definedName name="_xlnm.Print_Area" localSheetId="7">Gestohlen_Verloren!$A$1:$H$8</definedName>
    <definedName name="_xlnm.Print_Area" localSheetId="2">'Kapitalertragsbericht - Verkäuf'!$A$1:$K$15</definedName>
    <definedName name="_xlnm.Print_Area" localSheetId="9">'Nicht verkaufte Datum'!$A$1:$I$187</definedName>
    <definedName name="_xlnm.Print_Area" localSheetId="10">'Nicht verkaufte gruppiert'!$A$1:$I$8</definedName>
    <definedName name="_xlnm.Print_Area" localSheetId="8">'Nicht verkaufte Positionen'!$A$1:$I$8</definedName>
    <definedName name="_xlnm.Print_Area" localSheetId="5">Spenden_Schenkungen!$A$1:$H$8</definedName>
    <definedName name="_xlnm.Print_Area" localSheetId="11">Termingeschäfte!$A$1:$K$14</definedName>
    <definedName name="_xlnm.Print_Area" localSheetId="12">Transaktionsliste!$A$1:$K$8</definedName>
    <definedName name="_xlnm.Print_Titles" localSheetId="4">Einkommensbericht!$1:$7</definedName>
    <definedName name="_xlnm.Print_Titles" localSheetId="3">'Fehlende Anschaffungen'!$1:$7</definedName>
    <definedName name="_xlnm.Print_Titles" localSheetId="6">Gebühren!$1:$7</definedName>
    <definedName name="_xlnm.Print_Titles" localSheetId="7">Gestohlen_Verloren!$1:$7</definedName>
    <definedName name="_xlnm.Print_Titles" localSheetId="2">'Kapitalertragsbericht - Verkäuf'!$1:$7</definedName>
    <definedName name="_xlnm.Print_Titles" localSheetId="9">'Nicht verkaufte Datum'!$1:$7</definedName>
    <definedName name="_xlnm.Print_Titles" localSheetId="10">'Nicht verkaufte gruppiert'!$1:$7</definedName>
    <definedName name="_xlnm.Print_Titles" localSheetId="8">'Nicht verkaufte Positionen'!$1:$7</definedName>
    <definedName name="_xlnm.Print_Titles" localSheetId="5">Spenden_Schenkungen!$1:$7</definedName>
    <definedName name="_xlnm.Print_Titles" localSheetId="11">Termingeschäfte!$1:$7</definedName>
    <definedName name="_xlnm.Print_Titles" localSheetId="12">Transaktionsliste!$1:$7</definedName>
  </definedNames>
  <calcPr calcId="191029"/>
  <pivotCaches>
    <pivotCache cacheId="35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24" l="1"/>
  <c r="A5" i="23"/>
  <c r="H9" i="22" l="1"/>
  <c r="K12" i="12" s="1"/>
  <c r="A5" i="22"/>
  <c r="C19" i="6"/>
  <c r="C17" i="6"/>
  <c r="K11" i="9"/>
  <c r="K10" i="9"/>
  <c r="K14" i="9" s="1"/>
  <c r="G11" i="8" l="1"/>
  <c r="H8" i="8"/>
  <c r="B14" i="6"/>
  <c r="B18" i="6"/>
  <c r="B12" i="6"/>
  <c r="A13" i="6"/>
  <c r="A17" i="6"/>
  <c r="A19" i="6" s="1"/>
  <c r="A11" i="6"/>
  <c r="G9" i="8"/>
  <c r="K11" i="12"/>
  <c r="J11" i="12"/>
  <c r="I11" i="12"/>
  <c r="K9" i="12"/>
  <c r="J9" i="12"/>
  <c r="I9" i="12"/>
  <c r="A5" i="9"/>
  <c r="A5" i="2"/>
  <c r="A5" i="14"/>
  <c r="A5" i="10"/>
  <c r="A5" i="8"/>
  <c r="A5" i="5"/>
  <c r="A5" i="12"/>
  <c r="I10" i="12" l="1"/>
  <c r="J10" i="12"/>
  <c r="K10" i="12"/>
  <c r="K14" i="12" s="1"/>
  <c r="C11" i="6" s="1"/>
  <c r="G10" i="8"/>
  <c r="G14" i="8" s="1"/>
  <c r="C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tc={535C5C26-40BA-5B44-8491-7312ED3A5B3B}</author>
    <author>Özgür</author>
  </authors>
  <commentList>
    <comment ref="L1" authorId="0" shapeId="0" xr:uid="{535C5C26-40BA-5B44-8491-7312ED3A5B3B}">
      <text>
        <t>[Threaded comment]
Your version of Excel allows you to read this threaded comment; however, any edits to it will get removed if the file is opened in a newer version of Excel. Learn more: https://go.microsoft.com/fwlink/?linkid=870924
Comment:
    Download des Kapitalertragsberichts per Excel. Zusammenfassung pro Jahr hier rein kopieren.
Reply:
    Zahlen vergleichen mit unseren eigenen Berechnungen aus Blatt „Kapitalertragsbericht“
Reply:
    Die Zahl Short letzte Spalte wird dann als Trading Gewinn in das Gutachten übernommen, sowie die Werte für Margin Trading.
Reply:
    Muss nicht formatiert oder aufgeräumt werden. Diese Seite geht nicht an den Kunden.</t>
      </text>
    </comment>
    <comment ref="A4" authorId="1" shapeId="0" xr:uid="{48338829-4549-EA46-959E-D0595F82D5F4}">
      <text>
        <r>
          <rPr>
            <b/>
            <sz val="10"/>
            <color rgb="FF000000"/>
            <rFont val="Tahoma"/>
            <family val="2"/>
          </rPr>
          <t>Özgür: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Jahreszahlt nur hier ändern, damit sich jeder Reiter ändert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tc={098C1D89-C8D3-7842-8E33-F31632139186}</author>
  </authors>
  <commentList>
    <comment ref="K1" authorId="0" shapeId="0" xr:uid="{098C1D89-C8D3-7842-8E33-F31632139186}">
      <text>
        <t>[Threaded comment]
Your version of Excel allows you to read this threaded comment; however, any edits to it will get removed if the file is opened in a newer version of Excel. Learn more: https://go.microsoft.com/fwlink/?linkid=870924
Comment:
    Aus Cointracking, Kapitalertragsbericht, gefiltert nach „Warnungen anzeigen“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tc={E5ACAD73-572E-4344-923C-041525153F4B}</author>
  </authors>
  <commentList>
    <comment ref="H1" authorId="0" shapeId="0" xr:uid="{E5ACAD73-572E-4344-923C-041525153F4B}">
      <text>
        <t>[Threaded comment]
Your version of Excel allows you to read this threaded comment; however, any edits to it will get removed if the file is opened in a newer version of Excel. Learn more: https://go.microsoft.com/fwlink/?linkid=870924
Comment:
    Export als Excel, andernfalls ist die Formatierung falsch.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tc={042605B4-4D82-8445-BE9A-38700071CE4A}</author>
  </authors>
  <commentList>
    <comment ref="H1" authorId="0" shapeId="0" xr:uid="{042605B4-4D82-8445-BE9A-38700071CE4A}">
      <text>
        <t>[Threaded comment]
Your version of Excel allows you to read this threaded comment; however, any edits to it will get removed if the file is opened in a newer version of Excel. Learn more: https://go.microsoft.com/fwlink/?linkid=870924
Comment:
    Export als Excel, andernfalls ist die Formatierung falsch.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tc={9F0EBFA7-A492-624E-8488-91FA877DCCD3}</author>
  </authors>
  <commentList>
    <comment ref="K1" authorId="0" shapeId="0" xr:uid="{9F0EBFA7-A492-624E-8488-91FA877DCCD3}">
      <text>
        <t>[Threaded comment]
Your version of Excel allows you to read this threaded comment; however, any edits to it will get removed if the file is opened in a newer version of Excel. Learn more: https://go.microsoft.com/fwlink/?linkid=870924
Comment:
    Teil des Kapitalertragsberichtes. Von dort Löschen und hier gesondert aufführen. 
Spalte mit Haltefrist löschen. Summen berechnen. Fußzeile aus Kopierelemente verwenden.
Reply:
    Alle Einträge die in Cointracking als „margin … „ aufgeführt sind müssen aus dem Kapitalertragsbericht gelöscht werden und hier gesondert aufgeführt werden.
Reply:
    Summen aus Kopierelemente verwenden.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Özgür</author>
  </authors>
  <commentList>
    <comment ref="B5" authorId="0" shapeId="0" xr:uid="{991717EA-B0CE-A64E-A027-5E78579C871C}">
      <text>
        <r>
          <rPr>
            <b/>
            <sz val="10"/>
            <color rgb="FF000000"/>
            <rFont val="Tahoma"/>
            <family val="2"/>
          </rPr>
          <t>Özgür: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Die betroffenen Jahre angeben, die in der Liste abgebildet werden</t>
        </r>
      </text>
    </comment>
  </commentList>
</comments>
</file>

<file path=xl/sharedStrings.xml><?xml version="1.0" encoding="utf-8"?>
<sst xmlns="http://schemas.openxmlformats.org/spreadsheetml/2006/main" count="3294" uniqueCount="534">
  <si>
    <t>Typ</t>
  </si>
  <si>
    <t>Kauf</t>
  </si>
  <si>
    <t>Verkauf</t>
  </si>
  <si>
    <t>Anzahl</t>
  </si>
  <si>
    <t>Währung</t>
  </si>
  <si>
    <t>Erwerbsdatum</t>
  </si>
  <si>
    <t>Kaufpreis in EUR</t>
  </si>
  <si>
    <t>Kostenbasis in EUR</t>
  </si>
  <si>
    <t>Jahres End Wert in EUR</t>
  </si>
  <si>
    <t>Gewinn/Verlust in EUR</t>
  </si>
  <si>
    <t>Verkaufsdatum</t>
  </si>
  <si>
    <t>Erlös in EUR</t>
  </si>
  <si>
    <t>Haltefrist</t>
  </si>
  <si>
    <t>Kauf /Eingang bei</t>
  </si>
  <si>
    <t>Verkauf /Ausgang bei</t>
  </si>
  <si>
    <t>Gewinn in EUR</t>
  </si>
  <si>
    <t>Bestände zum Jahresende</t>
  </si>
  <si>
    <t>Diese Tabelle enthält alle Bestände zum 31.12. des angegebenen Jahres.</t>
  </si>
  <si>
    <t>Transaktionsliste</t>
  </si>
  <si>
    <t>Betrachtung von Termingeschäften</t>
  </si>
  <si>
    <t>Diese Tabelle enthält alle Vorgänge die im Zusammenhang mit Termingeschäften durchgeführt wurden</t>
  </si>
  <si>
    <t>Diese Tabelle enthält alle Transaktionen des Berichtszeitraums.</t>
  </si>
  <si>
    <t>Betrachtung von sonstigen Einkünften im Zusammenhang mit Kryptowährungen</t>
  </si>
  <si>
    <t>Diese Tabelle enthält alle Vorgänge die im Zusammenhang mit sonstigen Einkünften stehen</t>
  </si>
  <si>
    <t>Zuflussdatum</t>
  </si>
  <si>
    <t>Art</t>
  </si>
  <si>
    <t>Kommentar</t>
  </si>
  <si>
    <t>Wert im Zeitpunkt des Eingangs</t>
  </si>
  <si>
    <t>Wert bei Schenkung</t>
  </si>
  <si>
    <t>Betrachtung von Geschenken und Spenden</t>
  </si>
  <si>
    <t>Diese Tabelle enthält alle Vorgänge die im Zusammenhang mit Geschenken und Spenden abflüssen zu tun hat.</t>
  </si>
  <si>
    <t xml:space="preserve">Währung </t>
  </si>
  <si>
    <t>Kauf/Eingang bei</t>
  </si>
  <si>
    <t>Kostenbasis Berechnung</t>
  </si>
  <si>
    <t>Wert bei Verlust in EUR</t>
  </si>
  <si>
    <t>Verlustdatum</t>
  </si>
  <si>
    <t>Kostenbasis</t>
  </si>
  <si>
    <t>Kurs zum Jahresende in EUR</t>
  </si>
  <si>
    <t>SUMME Gewinne</t>
  </si>
  <si>
    <t xml:space="preserve">SUMME Verluste </t>
  </si>
  <si>
    <t>Aus Gründen der besseren Lesbarkeit ist hiervon ausgenommen Termingeschäfte und Gebühren.</t>
  </si>
  <si>
    <t>Diese Tabelle enthält alle Vorgänge die im Zusammenhang mit Gestohlenen und Verlorenen abflüssen zu tun haben.</t>
  </si>
  <si>
    <t>Betrachtung von gestohlen und verlorenen Coins</t>
  </si>
  <si>
    <t>Anschaffungskosten</t>
  </si>
  <si>
    <t xml:space="preserve">  Wert in EUR  </t>
  </si>
  <si>
    <t xml:space="preserve">  Wert in EUR </t>
  </si>
  <si>
    <t xml:space="preserve">  Börse  </t>
  </si>
  <si>
    <t xml:space="preserve">  Gruppe  </t>
  </si>
  <si>
    <t xml:space="preserve">  Datum  </t>
  </si>
  <si>
    <t>2016 - 2020</t>
  </si>
  <si>
    <t>Diese Tabelle enthält alle Verkäuf, denen keine Anschaffungskosten zugeordnet werden können.</t>
  </si>
  <si>
    <t>Diese wurden daher nach dem Vorsichtsprinzip mit Anschaffungskosten null und steuerpflichtig bewertet.</t>
  </si>
  <si>
    <t>Kopiervorlage in das Gutachten</t>
  </si>
  <si>
    <t>Jahr</t>
  </si>
  <si>
    <t>Einkunftsart</t>
  </si>
  <si>
    <t>Höhe der steuerlichen Einkünfte</t>
  </si>
  <si>
    <t>Sonstige Einkünfte aus privaten Veräußerungsgeschäften i.S. des § 23 EStG</t>
  </si>
  <si>
    <t>Einkünfte aus Kapitalvermögen i.S. des § 20 Abs. 2 Nr 3 EStG</t>
  </si>
  <si>
    <t>Spot</t>
  </si>
  <si>
    <t>Futures</t>
  </si>
  <si>
    <t>Sonstige Einkünfte aus Leistungen</t>
  </si>
  <si>
    <t>Formel muss angepasst werden (Gewinn und Verlust Bezug)</t>
  </si>
  <si>
    <t>20k Verlustgrenze mit in die Formel?</t>
  </si>
  <si>
    <t>Kümmert sich der Stb. Dadrum? Dann müssen Verluste extra abgebildet werden</t>
  </si>
  <si>
    <t>zB. Bitmex, Bybit</t>
  </si>
  <si>
    <t>Zeilenbeschriftungen</t>
  </si>
  <si>
    <t>(Leer)</t>
  </si>
  <si>
    <t>Gesamtergebnis</t>
  </si>
  <si>
    <t>Laden der Tabelle: Klicke auf A4 -&gt; Menü PivotTable -&gt; Aktualisieren</t>
  </si>
  <si>
    <t>Betrachtung privater Veräußerungsgeschäfte</t>
  </si>
  <si>
    <t>Zinsen, Mining</t>
  </si>
  <si>
    <t>Summe Einnahmen aus Veräußerungsgeschäften</t>
  </si>
  <si>
    <t>davon steuerfrei</t>
  </si>
  <si>
    <t>davon steuerpflichtig</t>
  </si>
  <si>
    <t>abziehbare Werbungskosten</t>
  </si>
  <si>
    <t>Summe Einkünfte aus privaten Veräußerungsgeschäften</t>
  </si>
  <si>
    <t>Summe Einnahmen aus sonstigen Einkünften</t>
  </si>
  <si>
    <t>Summe sonstige Einkünfte</t>
  </si>
  <si>
    <t>Unbekannte Anschaffungen</t>
  </si>
  <si>
    <t xml:space="preserve"> </t>
  </si>
  <si>
    <t>Spalte E händisch rauslöschen</t>
  </si>
  <si>
    <t>Gebühren (nicht abzugsfähig)</t>
  </si>
  <si>
    <t>Abziehbare Verluste</t>
  </si>
  <si>
    <t>SUMME</t>
  </si>
  <si>
    <t>Max. 20k Verlust möglich</t>
  </si>
  <si>
    <t>Verluste aus Kapitalvermögen i.S. des § 20 Abs. 2 Nr 3 EStG</t>
  </si>
  <si>
    <t>Einzutragen in Zeile 24 (Summe der Verluste)</t>
  </si>
  <si>
    <t>Gebührenbericht</t>
  </si>
  <si>
    <t>Diese Tabelle enthält alle Verkäufe, Täusche und andere potentiell steuerpflichtigen Vorgänge des Kalendesjahres</t>
  </si>
  <si>
    <t>Transaktion bei</t>
  </si>
  <si>
    <t>Wert bei Transaktion in EUR</t>
  </si>
  <si>
    <t>Diese Tabelle enthält alle Gebühren die im Zusammenhang mit Verkäufe, Täusche und andere potentiell steuerpflichtigen Vorgänge des Kalendesjahres entstanden sind.</t>
  </si>
  <si>
    <t>Datum der Gebühr</t>
  </si>
  <si>
    <t xml:space="preserve">  </t>
  </si>
  <si>
    <t xml:space="preserve">   </t>
  </si>
  <si>
    <t>Bestände zum Jahresende (gruppiert nach Währung)</t>
  </si>
  <si>
    <t>Ausgang bei</t>
  </si>
  <si>
    <t>Anleitung:</t>
  </si>
  <si>
    <t>2. Das Makro staren (Orangen Feld klicken)</t>
  </si>
  <si>
    <t>3. Spalte B markieren und mit Suchen+Ersetzen (SHIFT+CMD+H)</t>
  </si>
  <si>
    <t>Damit werden alle dopplten Daten gelöscht</t>
  </si>
  <si>
    <t>1. Aus CT die Zahlen vom Kapitalertragbericht in Zelle A8 hineinkopieren</t>
  </si>
  <si>
    <t>nach ",*" suchen und mit LEERLASSEN erseztzen.</t>
  </si>
  <si>
    <t>1. Aus "Kapitalertragsbericht" wurden hier automatsiert</t>
  </si>
  <si>
    <t>die unbekannten Anschaffungen übertragen.</t>
  </si>
  <si>
    <t>1. Aus CT die Zahlen vom Einkommensbericht in Zelle A8 hineinkopieren</t>
  </si>
  <si>
    <t>3. Kontrollieren, ob steuerfreie Einnahmen tatsächlich steuerfrei sind</t>
  </si>
  <si>
    <t>1. Aus CT die Zahlen aus Spenden in Zelle A8 hineinkopieren</t>
  </si>
  <si>
    <t>1. Aus CT die Zahlen vom Gebührenbericht in Zelle A8 hineinkopieren</t>
  </si>
  <si>
    <t>2. Die Gebührensumme wird automatisch berechnet und ist im Kapitalbericht verknpüft</t>
  </si>
  <si>
    <t>3. Hier brauch nichts (außer 1.) gemacht werden und darf NICHT in die Anlage</t>
  </si>
  <si>
    <t>3. Das Makro führt Bestände mit dem gleichen Dazum zusammen</t>
  </si>
  <si>
    <t>und kopiert die Ergebnisse in "Nicht verkaufte Datum".</t>
  </si>
  <si>
    <t>1. Das Makro aus "Nicht verkaufte Positonen" hat die Tabelle automatisiert befüllt</t>
  </si>
  <si>
    <t>1. Aus CT den oberen Bereich von "nicht verkaufte Positionen" in Zelle A8 hineinkopieren.</t>
  </si>
  <si>
    <t>1."EUR" ab Zeile 8 löschen mit Suchen und Ersetzen (Shift+CMD+H): Suchen: EUR; Ersetzen: LEER</t>
  </si>
  <si>
    <t>2. Das Makro starten (Orangen Feld klicken)</t>
  </si>
  <si>
    <t>Stand:</t>
  </si>
  <si>
    <t>Kein Makro, nichts bearbeitet</t>
  </si>
  <si>
    <t>2. Reiter Grün färben, sofern dieser Reiter befüllt wurde</t>
  </si>
  <si>
    <t>3. Es muss hier nichts gemacht werden</t>
  </si>
  <si>
    <t>PLANITY</t>
  </si>
  <si>
    <t>INVESTMENTS - PRE PAYMENTS</t>
  </si>
  <si>
    <t>ZEFU</t>
  </si>
  <si>
    <t>MEW O</t>
  </si>
  <si>
    <t>ATLAS</t>
  </si>
  <si>
    <t>MRCH</t>
  </si>
  <si>
    <t>TOKENS UNDER LOCKUP</t>
  </si>
  <si>
    <t>EPIK</t>
  </si>
  <si>
    <t>DAOPAD USDC</t>
  </si>
  <si>
    <t>FORMLESS</t>
  </si>
  <si>
    <t>ZEC</t>
  </si>
  <si>
    <t>Kraken</t>
  </si>
  <si>
    <t>DHT</t>
  </si>
  <si>
    <t>NIIFI</t>
  </si>
  <si>
    <t>FORM</t>
  </si>
  <si>
    <t>KISHU</t>
  </si>
  <si>
    <t>BAGEL</t>
  </si>
  <si>
    <t>DDS</t>
  </si>
  <si>
    <t>HW-2</t>
  </si>
  <si>
    <t>AVAX</t>
  </si>
  <si>
    <t>AVAX Wallet</t>
  </si>
  <si>
    <t>NFTT</t>
  </si>
  <si>
    <t>CHIPS</t>
  </si>
  <si>
    <t>RAILPOLY</t>
  </si>
  <si>
    <t>Polygon HW</t>
  </si>
  <si>
    <t>SWRV</t>
  </si>
  <si>
    <t>Ledger 2key</t>
  </si>
  <si>
    <t>SIENNA</t>
  </si>
  <si>
    <t>BETA</t>
  </si>
  <si>
    <t>Binance</t>
  </si>
  <si>
    <t>EROWAN</t>
  </si>
  <si>
    <t>HW Main</t>
  </si>
  <si>
    <t>OCC</t>
  </si>
  <si>
    <t>WINGS</t>
  </si>
  <si>
    <t>PUBLX</t>
  </si>
  <si>
    <t>KINE</t>
  </si>
  <si>
    <t>USDT</t>
  </si>
  <si>
    <t>HW-BSC</t>
  </si>
  <si>
    <t>PIE</t>
  </si>
  <si>
    <t>HTR</t>
  </si>
  <si>
    <t>BitMax</t>
  </si>
  <si>
    <t>XRUNE</t>
  </si>
  <si>
    <t>PDEX</t>
  </si>
  <si>
    <t>ARMOR</t>
  </si>
  <si>
    <t>FCL</t>
  </si>
  <si>
    <t>HW 2020 PP 3</t>
  </si>
  <si>
    <t>SIL</t>
  </si>
  <si>
    <t>NEXO</t>
  </si>
  <si>
    <t>XKI</t>
  </si>
  <si>
    <t>USETECH</t>
  </si>
  <si>
    <t>INFINITE</t>
  </si>
  <si>
    <t>HW 2020 PP 10</t>
  </si>
  <si>
    <t>PRIME</t>
  </si>
  <si>
    <t>PROT</t>
  </si>
  <si>
    <t>CLV</t>
  </si>
  <si>
    <t>CWEB</t>
  </si>
  <si>
    <t>KEX</t>
  </si>
  <si>
    <t>CAPTAIN</t>
  </si>
  <si>
    <t>CREED</t>
  </si>
  <si>
    <t>WOO</t>
  </si>
  <si>
    <t>SOL</t>
  </si>
  <si>
    <t>XFI2</t>
  </si>
  <si>
    <t>CTSI</t>
  </si>
  <si>
    <t>Cartesi Staking</t>
  </si>
  <si>
    <t>MIM</t>
  </si>
  <si>
    <t>DIA</t>
  </si>
  <si>
    <t>OTC DIA Wallet</t>
  </si>
  <si>
    <t>DAI</t>
  </si>
  <si>
    <t>HW-3</t>
  </si>
  <si>
    <t>STOL</t>
  </si>
  <si>
    <t>PICIPO</t>
  </si>
  <si>
    <t>DAW9870</t>
  </si>
  <si>
    <t>GHST</t>
  </si>
  <si>
    <t>STORE</t>
  </si>
  <si>
    <t>SKT</t>
  </si>
  <si>
    <t>CREAM</t>
  </si>
  <si>
    <t>UTB</t>
  </si>
  <si>
    <t>AST</t>
  </si>
  <si>
    <t>BTCUP</t>
  </si>
  <si>
    <t>DLTA</t>
  </si>
  <si>
    <t>ROVER</t>
  </si>
  <si>
    <t>MTRG</t>
  </si>
  <si>
    <t>Gate.io</t>
  </si>
  <si>
    <t>BTS</t>
  </si>
  <si>
    <t>BYN</t>
  </si>
  <si>
    <t>SNK</t>
  </si>
  <si>
    <t>DAR</t>
  </si>
  <si>
    <t>GP</t>
  </si>
  <si>
    <t>CVR1</t>
  </si>
  <si>
    <t>MOMAT</t>
  </si>
  <si>
    <t>LTCUP</t>
  </si>
  <si>
    <t>FLEX</t>
  </si>
  <si>
    <t>EMON</t>
  </si>
  <si>
    <t>STREETH</t>
  </si>
  <si>
    <t>SPHRI</t>
  </si>
  <si>
    <t>SWUSD</t>
  </si>
  <si>
    <t>OPT</t>
  </si>
  <si>
    <t>FOC</t>
  </si>
  <si>
    <t>DFC</t>
  </si>
  <si>
    <t>CRWNY</t>
  </si>
  <si>
    <t>SYA</t>
  </si>
  <si>
    <t>USD</t>
  </si>
  <si>
    <t>Uniswap FRAX/USDC</t>
  </si>
  <si>
    <t>CRD</t>
  </si>
  <si>
    <t>WMATIC</t>
  </si>
  <si>
    <t>CEL</t>
  </si>
  <si>
    <t>Celsius Network</t>
  </si>
  <si>
    <t>BUSD</t>
  </si>
  <si>
    <t>NFTD</t>
  </si>
  <si>
    <t>BBANK</t>
  </si>
  <si>
    <t>L2PAD</t>
  </si>
  <si>
    <t>SHOE</t>
  </si>
  <si>
    <t>CT2</t>
  </si>
  <si>
    <t>MARSH</t>
  </si>
  <si>
    <t>BLOK</t>
  </si>
  <si>
    <t>WZNN</t>
  </si>
  <si>
    <t>SOS3</t>
  </si>
  <si>
    <t>GG2</t>
  </si>
  <si>
    <t>CQT</t>
  </si>
  <si>
    <t>ALK</t>
  </si>
  <si>
    <t>INJ</t>
  </si>
  <si>
    <t>ORAO</t>
  </si>
  <si>
    <t>DAW1100</t>
  </si>
  <si>
    <t>STAK</t>
  </si>
  <si>
    <t>TRY</t>
  </si>
  <si>
    <t>PLOT</t>
  </si>
  <si>
    <t>RGT</t>
  </si>
  <si>
    <t>FMT</t>
  </si>
  <si>
    <t>AZERO</t>
  </si>
  <si>
    <t>PKF</t>
  </si>
  <si>
    <t>REEF</t>
  </si>
  <si>
    <t>2CRZ</t>
  </si>
  <si>
    <t>SDOG2</t>
  </si>
  <si>
    <t>GM2</t>
  </si>
  <si>
    <t>USDC</t>
  </si>
  <si>
    <t>Pendulum Wallet</t>
  </si>
  <si>
    <t>HW-8 FTM CHAIN</t>
  </si>
  <si>
    <t>Binance DEX</t>
  </si>
  <si>
    <t>HW-PP-12</t>
  </si>
  <si>
    <t>SPARTA</t>
  </si>
  <si>
    <t>FOR</t>
  </si>
  <si>
    <t>Socios ETH</t>
  </si>
  <si>
    <t>PENDULUM</t>
  </si>
  <si>
    <t>URBITNFT</t>
  </si>
  <si>
    <t>RAVEN</t>
  </si>
  <si>
    <t>KYL</t>
  </si>
  <si>
    <t>XRPDOWN</t>
  </si>
  <si>
    <t>CLOUT</t>
  </si>
  <si>
    <t>Bitclout</t>
  </si>
  <si>
    <t>BFT</t>
  </si>
  <si>
    <t>WSB</t>
  </si>
  <si>
    <t>KASTA</t>
  </si>
  <si>
    <t>DEFIRATE</t>
  </si>
  <si>
    <t>PTF</t>
  </si>
  <si>
    <t>CHZ</t>
  </si>
  <si>
    <t>BUMP</t>
  </si>
  <si>
    <t>XLM</t>
  </si>
  <si>
    <t>FIS</t>
  </si>
  <si>
    <t>TCP</t>
  </si>
  <si>
    <t>LSS</t>
  </si>
  <si>
    <t>TBC</t>
  </si>
  <si>
    <t>ICNQ</t>
  </si>
  <si>
    <t>CUDOS</t>
  </si>
  <si>
    <t>CMP3</t>
  </si>
  <si>
    <t>BAKED</t>
  </si>
  <si>
    <t>XMR</t>
  </si>
  <si>
    <t>ATOM</t>
  </si>
  <si>
    <t>KONO</t>
  </si>
  <si>
    <t>COLL</t>
  </si>
  <si>
    <t>STATE</t>
  </si>
  <si>
    <t>YIELD</t>
  </si>
  <si>
    <t>POLIS</t>
  </si>
  <si>
    <t>XRP</t>
  </si>
  <si>
    <t>CARD</t>
  </si>
  <si>
    <t>2018</t>
  </si>
  <si>
    <t>2KEY</t>
  </si>
  <si>
    <t>FRAX</t>
  </si>
  <si>
    <t>BITE</t>
  </si>
  <si>
    <t>SWISE</t>
  </si>
  <si>
    <t>FUTURISE</t>
  </si>
  <si>
    <t>KYDY</t>
  </si>
  <si>
    <t>DGCL</t>
  </si>
  <si>
    <t>UNO2</t>
  </si>
  <si>
    <t>AKT</t>
  </si>
  <si>
    <t>2019</t>
  </si>
  <si>
    <t>SWINGBY</t>
  </si>
  <si>
    <t>YFIUP</t>
  </si>
  <si>
    <t>ETH</t>
  </si>
  <si>
    <t>YAM</t>
  </si>
  <si>
    <t>ILV</t>
  </si>
  <si>
    <t>ANKR</t>
  </si>
  <si>
    <t>TOKEN</t>
  </si>
  <si>
    <t>POLO</t>
  </si>
  <si>
    <t>MOOV</t>
  </si>
  <si>
    <t>RUNE</t>
  </si>
  <si>
    <t>FXS</t>
  </si>
  <si>
    <t>RAIL</t>
  </si>
  <si>
    <t>POKT</t>
  </si>
  <si>
    <t>RAILBSC</t>
  </si>
  <si>
    <t>BTC</t>
  </si>
  <si>
    <t>Deribit</t>
  </si>
  <si>
    <t>BNB</t>
  </si>
  <si>
    <t>DOWS</t>
  </si>
  <si>
    <t>OIN</t>
  </si>
  <si>
    <t>ORN</t>
  </si>
  <si>
    <t>OM</t>
  </si>
  <si>
    <t>ACXT</t>
  </si>
  <si>
    <t>ACDX WALLET</t>
  </si>
  <si>
    <t>CTR</t>
  </si>
  <si>
    <t>AGEUR</t>
  </si>
  <si>
    <t>DERISWAP</t>
  </si>
  <si>
    <t>ATD</t>
  </si>
  <si>
    <t>SUSHI</t>
  </si>
  <si>
    <t>FAR</t>
  </si>
  <si>
    <t>KEE</t>
  </si>
  <si>
    <t>COOK</t>
  </si>
  <si>
    <t>ILOCK</t>
  </si>
  <si>
    <t>BLANK</t>
  </si>
  <si>
    <t>ENX</t>
  </si>
  <si>
    <t>LAZIO</t>
  </si>
  <si>
    <t>MCIM</t>
  </si>
  <si>
    <t>UNI</t>
  </si>
  <si>
    <t>ETHUP</t>
  </si>
  <si>
    <t>AGV</t>
  </si>
  <si>
    <t>BEAM</t>
  </si>
  <si>
    <t>FTM</t>
  </si>
  <si>
    <t>SXP</t>
  </si>
  <si>
    <t>KMONFT</t>
  </si>
  <si>
    <t>HW-5-BSC</t>
  </si>
  <si>
    <t>HW-3 BSC</t>
  </si>
  <si>
    <t>HW-2-BSC</t>
  </si>
  <si>
    <t>HW-4-BSC</t>
  </si>
  <si>
    <t>UBT</t>
  </si>
  <si>
    <t>KFEE</t>
  </si>
  <si>
    <t>OMI</t>
  </si>
  <si>
    <t>HORD</t>
  </si>
  <si>
    <t>KMON</t>
  </si>
  <si>
    <t>BOTTO</t>
  </si>
  <si>
    <t>MATIC</t>
  </si>
  <si>
    <t>CNTR</t>
  </si>
  <si>
    <t>TANGO</t>
  </si>
  <si>
    <t>Uniswap TANGO/USDT</t>
  </si>
  <si>
    <t>XPNET</t>
  </si>
  <si>
    <t>OOE</t>
  </si>
  <si>
    <t>IQ</t>
  </si>
  <si>
    <t>BAND</t>
  </si>
  <si>
    <t>DOGE</t>
  </si>
  <si>
    <t>EQZ</t>
  </si>
  <si>
    <t>0,00 EUR</t>
  </si>
  <si>
    <t>14.801,84 EUR</t>
  </si>
  <si>
    <t>583,16 EUR</t>
  </si>
  <si>
    <t>31,75 EUR</t>
  </si>
  <si>
    <t>33.018,32 EUR</t>
  </si>
  <si>
    <t>274.776,27 EUR</t>
  </si>
  <si>
    <t>173.514,73 EUR</t>
  </si>
  <si>
    <t>7.649,33 EUR</t>
  </si>
  <si>
    <t>25,80 EUR</t>
  </si>
  <si>
    <t>8.078,32 EUR</t>
  </si>
  <si>
    <t>0,06 EUR</t>
  </si>
  <si>
    <t>30.886,30 EUR</t>
  </si>
  <si>
    <t>281.590,73 EUR</t>
  </si>
  <si>
    <t>9,60 EUR</t>
  </si>
  <si>
    <t>38.830,46 EUR</t>
  </si>
  <si>
    <t>399,59 EUR</t>
  </si>
  <si>
    <t>3.182,08 EUR</t>
  </si>
  <si>
    <t>5,69 EUR</t>
  </si>
  <si>
    <t>2.633,73 EUR</t>
  </si>
  <si>
    <t>174.619,79 EUR</t>
  </si>
  <si>
    <t>0,14 EUR</t>
  </si>
  <si>
    <t>1.846,45 EUR</t>
  </si>
  <si>
    <t>1.603,00 EUR</t>
  </si>
  <si>
    <t>6.132,50 EUR</t>
  </si>
  <si>
    <t>42.095,86 EUR</t>
  </si>
  <si>
    <t>97.481,31 EUR</t>
  </si>
  <si>
    <t>14.652,46 EUR</t>
  </si>
  <si>
    <t>1.250.968,35 EUR</t>
  </si>
  <si>
    <t>75,74 EUR</t>
  </si>
  <si>
    <t>9,64 EUR</t>
  </si>
  <si>
    <t>37.354,29 EUR</t>
  </si>
  <si>
    <t>10.634,26 EUR</t>
  </si>
  <si>
    <t>31.708,70 EUR</t>
  </si>
  <si>
    <t>54,72 EUR</t>
  </si>
  <si>
    <t>4.830,09 EUR</t>
  </si>
  <si>
    <t>1.546,12 EUR</t>
  </si>
  <si>
    <t>30.999,97 EUR</t>
  </si>
  <si>
    <t>471,32 EUR</t>
  </si>
  <si>
    <t>6.337,34 EUR</t>
  </si>
  <si>
    <t>5.653,35 EUR</t>
  </si>
  <si>
    <t>245.718,62 EUR</t>
  </si>
  <si>
    <t>2,49 EUR</t>
  </si>
  <si>
    <t>10,89 EUR</t>
  </si>
  <si>
    <t>384,51 EUR</t>
  </si>
  <si>
    <t>1.091,16 EUR</t>
  </si>
  <si>
    <t>549,04 EUR</t>
  </si>
  <si>
    <t>60.676,26 EUR</t>
  </si>
  <si>
    <t>23.694,49 EUR</t>
  </si>
  <si>
    <t>99.389,20 EUR</t>
  </si>
  <si>
    <t>2.192,68 EUR</t>
  </si>
  <si>
    <t>165,07 EUR</t>
  </si>
  <si>
    <t>7,52 EUR</t>
  </si>
  <si>
    <t>2.215,50 EUR</t>
  </si>
  <si>
    <t>380,07 EUR</t>
  </si>
  <si>
    <t>9.578,12 EUR</t>
  </si>
  <si>
    <t>230,41 EUR</t>
  </si>
  <si>
    <t>143,50 EUR</t>
  </si>
  <si>
    <t>46,55 EUR</t>
  </si>
  <si>
    <t>2.313,25 EUR</t>
  </si>
  <si>
    <t>13.955,47 EUR</t>
  </si>
  <si>
    <t>3.909,84 EUR</t>
  </si>
  <si>
    <t>10.518,67 EUR</t>
  </si>
  <si>
    <t>0,20 EUR</t>
  </si>
  <si>
    <t>174.877,20 EUR</t>
  </si>
  <si>
    <t>4.828.826,20 EUR</t>
  </si>
  <si>
    <t>20,72 EUR</t>
  </si>
  <si>
    <t>405,25 EUR</t>
  </si>
  <si>
    <t>869,67 EUR</t>
  </si>
  <si>
    <t>0,65 EUR</t>
  </si>
  <si>
    <t>12.552,53 EUR</t>
  </si>
  <si>
    <t>824,51 EUR</t>
  </si>
  <si>
    <t>523,73 EUR</t>
  </si>
  <si>
    <t>25,05 EUR</t>
  </si>
  <si>
    <t>58.206,24 EUR</t>
  </si>
  <si>
    <t>118.555,28 EUR</t>
  </si>
  <si>
    <t>3.164.057,38 EUR</t>
  </si>
  <si>
    <t>0,58 EUR</t>
  </si>
  <si>
    <t>7.386,32 EUR</t>
  </si>
  <si>
    <t>22,77 EUR</t>
  </si>
  <si>
    <t>2,29 EUR</t>
  </si>
  <si>
    <t>98.668,19 EUR</t>
  </si>
  <si>
    <t>0,10 EUR</t>
  </si>
  <si>
    <t>3.391.461,83 EUR</t>
  </si>
  <si>
    <t>47,67 EUR</t>
  </si>
  <si>
    <t>4.636,40 EUR</t>
  </si>
  <si>
    <t>1.831.785,38 EUR</t>
  </si>
  <si>
    <t>70.316,86 EUR</t>
  </si>
  <si>
    <t>13.348,85 EUR</t>
  </si>
  <si>
    <t>34,11 EUR</t>
  </si>
  <si>
    <t>199.400,91 EUR</t>
  </si>
  <si>
    <t>2.598,05 EUR</t>
  </si>
  <si>
    <t>8.835,29 EUR</t>
  </si>
  <si>
    <t>0,02 EUR</t>
  </si>
  <si>
    <t>113.092,60 EUR</t>
  </si>
  <si>
    <t>0,19 EUR</t>
  </si>
  <si>
    <t>10.907,04 EUR</t>
  </si>
  <si>
    <t>238,22 EUR</t>
  </si>
  <si>
    <t>6,63 EUR</t>
  </si>
  <si>
    <t>1.009,46 EUR</t>
  </si>
  <si>
    <t>3,57 EUR</t>
  </si>
  <si>
    <t>49,60 EUR</t>
  </si>
  <si>
    <t>1.546,14 EUR</t>
  </si>
  <si>
    <t>73.764,12 EUR</t>
  </si>
  <si>
    <t>2.746,18 EUR</t>
  </si>
  <si>
    <t>3.165,36 EUR</t>
  </si>
  <si>
    <t>12,38 EUR</t>
  </si>
  <si>
    <t>63,47 EUR</t>
  </si>
  <si>
    <t>101,55 EUR</t>
  </si>
  <si>
    <t>184.925,50 EUR</t>
  </si>
  <si>
    <t>67.354,41 EUR</t>
  </si>
  <si>
    <t>27.800,69 EUR</t>
  </si>
  <si>
    <t>54,49 EUR</t>
  </si>
  <si>
    <t>119,44 EUR</t>
  </si>
  <si>
    <t>49.165,29 EUR</t>
  </si>
  <si>
    <t>37,28 EUR</t>
  </si>
  <si>
    <t>2,21 EUR</t>
  </si>
  <si>
    <t>10.054,01 EUR</t>
  </si>
  <si>
    <t>3.892,28 EUR</t>
  </si>
  <si>
    <t>15.874,12 EUR</t>
  </si>
  <si>
    <t>0,04 EUR</t>
  </si>
  <si>
    <t>123.536,05 EUR</t>
  </si>
  <si>
    <t>2.412,77 EUR</t>
  </si>
  <si>
    <t>41.653,37 EUR</t>
  </si>
  <si>
    <t>82,27 EUR</t>
  </si>
  <si>
    <t>0,13 EUR</t>
  </si>
  <si>
    <t>3.034,74 EUR</t>
  </si>
  <si>
    <t>9.322,11 EUR</t>
  </si>
  <si>
    <t>858,89 EUR</t>
  </si>
  <si>
    <t>3.838,25 EUR</t>
  </si>
  <si>
    <t>182.111,73 EUR</t>
  </si>
  <si>
    <t>120,38 EUR</t>
  </si>
  <si>
    <t>26,93 EUR</t>
  </si>
  <si>
    <t>248,92 EUR</t>
  </si>
  <si>
    <t>363,67 EUR</t>
  </si>
  <si>
    <t>22.185,35 EUR</t>
  </si>
  <si>
    <t>48.708,49 EUR</t>
  </si>
  <si>
    <t>0,01 EUR</t>
  </si>
  <si>
    <t>7.793,17 EUR</t>
  </si>
  <si>
    <t>20,11 EUR</t>
  </si>
  <si>
    <t>80,89 EUR</t>
  </si>
  <si>
    <t>392,28 EUR</t>
  </si>
  <si>
    <t>1.320,87 EUR</t>
  </si>
  <si>
    <t>3.488,14 EUR</t>
  </si>
  <si>
    <t>91,58 EUR</t>
  </si>
  <si>
    <t>0,29 EUR</t>
  </si>
  <si>
    <t>32.820,29 EUR</t>
  </si>
  <si>
    <t>0,03 EUR</t>
  </si>
  <si>
    <t>0,55 EUR</t>
  </si>
  <si>
    <t>69,20 EUR</t>
  </si>
  <si>
    <t>142.884,52 EUR</t>
  </si>
  <si>
    <t>394.468,33 EUR</t>
  </si>
  <si>
    <t>119.463,79 EUR</t>
  </si>
  <si>
    <t>1.251,24 EUR</t>
  </si>
  <si>
    <t>236,66 EUR</t>
  </si>
  <si>
    <t>9.996,29 EUR</t>
  </si>
  <si>
    <t>1.119,62 EUR</t>
  </si>
  <si>
    <t>140.118,51 EUR</t>
  </si>
  <si>
    <t>293.730,31 EUR</t>
  </si>
  <si>
    <t>2.239,41 EUR</t>
  </si>
  <si>
    <t>29,95 EUR</t>
  </si>
  <si>
    <t>1,38 EUR</t>
  </si>
  <si>
    <t>73.938,14 EUR</t>
  </si>
  <si>
    <t>0,18 EUR</t>
  </si>
  <si>
    <t>0,05 EUR</t>
  </si>
  <si>
    <t>884,22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</si>
</sst>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[$]dd/mm/yy;@" x16r2:formatCode16="[$-en-DE,1]dd/mm/yy;@"/>
    <numFmt numFmtId="165" formatCode="#,##0.000000\ &quot;€&quot;"/>
    <numFmt numFmtId="166" formatCode="dd/mm/yy;@"/>
    <numFmt numFmtId="167" formatCode="#,##0.00\ _€"/>
    <numFmt numFmtId="168" formatCode="d/m/yy;@"/>
    <numFmt numFmtId="169" formatCode="_-* #,##0.000000_-;\-* #,##0.000000_-;_-* &quot;-&quot;??_-;_-@_-"/>
    <numFmt numFmtId="170" formatCode="dd\.mm\.yyyy"/>
    <numFmt numFmtId="171" formatCode="_(&quot;€&quot;* #,##0.00_);_(&quot;€&quot;* \(#,##0.00\);_(&quot;€&quot;* &quot;-&quot;??_);_(@_)"/>
    <numFmt numFmtId="172" formatCode="_-* #,##0.00\ [$€-407]_-;\-* #,##0.00\ [$€-407]_-;_-* &quot;-&quot;??\ [$€-407]_-;_-@_-"/>
    <numFmt numFmtId="173" formatCode="_(* #,##0.00_);_(* \(#,##0.00\);_(* &quot;-&quot;??_);_(@_)"/>
    <numFmt numFmtId="174" formatCode="_-* #,##0.0000_-;\-* #,##0.0000_-;_-* &quot;-&quot;??_-;_-@_-"/>
  </numFmts>
  <fonts count="31" x14ac:knownFonts="1">
    <font>
      <sz val="11"/>
      <name val="Calibri"/>
    </font>
    <font>
      <b/>
      <sz val="11"/>
      <name val="Calibri"/>
      <family val="2"/>
    </font>
    <font>
      <sz val="2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sz val="11"/>
      <color theme="0"/>
      <name val="Calibri"/>
      <family val="2"/>
    </font>
    <font>
      <b/>
      <sz val="12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1"/>
      <color rgb="FFFFFFFF"/>
      <name val="Calibri"/>
      <family val="2"/>
    </font>
    <font>
      <sz val="8"/>
      <name val="Calibri"/>
      <family val="2"/>
    </font>
    <font>
      <sz val="13"/>
      <name val="Helvetica Neue"/>
      <family val="2"/>
    </font>
    <font>
      <b/>
      <sz val="12"/>
      <name val="Calibri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name val="Calibri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i/>
      <sz val="9"/>
      <name val="Arial"/>
      <family val="2"/>
    </font>
    <font>
      <sz val="12"/>
      <color rgb="FFFFFFFF"/>
      <name val="Helvetica"/>
      <family val="2"/>
    </font>
    <font>
      <sz val="12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</font>
    <font>
      <sz val="12"/>
      <name val="Verdana"/>
      <family val="2"/>
    </font>
    <font>
      <b/>
      <sz val="16"/>
      <name val="Calibri"/>
      <family val="2"/>
    </font>
    <font>
      <sz val="14"/>
      <name val="Calibri"/>
      <family val="2"/>
    </font>
    <font>
      <b/>
      <sz val="14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indexed="64"/>
      </patternFill>
    </fill>
  </fills>
  <borders count="3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7">
    <xf numFmtId="0" fontId="0" fillId="0" borderId="0"/>
    <xf numFmtId="44" fontId="9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3" fillId="0" borderId="0"/>
    <xf numFmtId="171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0" fontId="27" fillId="0" borderId="0"/>
  </cellStyleXfs>
  <cellXfs count="138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/>
    <xf numFmtId="14" fontId="0" fillId="0" borderId="0" xfId="0" applyNumberFormat="1"/>
    <xf numFmtId="14" fontId="4" fillId="0" borderId="0" xfId="0" applyNumberFormat="1" applyFont="1"/>
    <xf numFmtId="22" fontId="0" fillId="0" borderId="0" xfId="0" applyNumberFormat="1"/>
    <xf numFmtId="0" fontId="5" fillId="0" borderId="0" xfId="0" applyFont="1"/>
    <xf numFmtId="14" fontId="5" fillId="0" borderId="0" xfId="0" applyNumberFormat="1" applyFont="1"/>
    <xf numFmtId="22" fontId="3" fillId="0" borderId="0" xfId="0" applyNumberFormat="1" applyFont="1"/>
    <xf numFmtId="0" fontId="6" fillId="2" borderId="1" xfId="0" applyFont="1" applyFill="1" applyBorder="1"/>
    <xf numFmtId="0" fontId="6" fillId="2" borderId="2" xfId="0" applyFont="1" applyFill="1" applyBorder="1"/>
    <xf numFmtId="0" fontId="7" fillId="0" borderId="0" xfId="0" applyFont="1"/>
    <xf numFmtId="0" fontId="6" fillId="2" borderId="0" xfId="0" applyFont="1" applyFill="1"/>
    <xf numFmtId="0" fontId="10" fillId="0" borderId="0" xfId="0" applyFont="1"/>
    <xf numFmtId="44" fontId="10" fillId="0" borderId="0" xfId="1" applyFont="1"/>
    <xf numFmtId="44" fontId="0" fillId="0" borderId="0" xfId="1" applyFont="1" applyFill="1" applyBorder="1"/>
    <xf numFmtId="44" fontId="0" fillId="0" borderId="0" xfId="1" applyFont="1"/>
    <xf numFmtId="44" fontId="0" fillId="0" borderId="0" xfId="1" applyFont="1" applyFill="1" applyBorder="1" applyAlignment="1">
      <alignment horizontal="right"/>
    </xf>
    <xf numFmtId="44" fontId="3" fillId="0" borderId="0" xfId="1" applyFont="1" applyFill="1" applyBorder="1" applyAlignment="1">
      <alignment horizontal="right"/>
    </xf>
    <xf numFmtId="0" fontId="2" fillId="0" borderId="0" xfId="1" applyNumberFormat="1" applyFont="1" applyFill="1" applyBorder="1" applyAlignment="1">
      <alignment horizontal="left"/>
    </xf>
    <xf numFmtId="0" fontId="0" fillId="0" borderId="0" xfId="1" applyNumberFormat="1" applyFont="1" applyFill="1" applyBorder="1"/>
    <xf numFmtId="44" fontId="6" fillId="2" borderId="0" xfId="1" applyFont="1" applyFill="1" applyBorder="1"/>
    <xf numFmtId="44" fontId="5" fillId="0" borderId="0" xfId="1" applyFont="1" applyFill="1" applyBorder="1" applyAlignment="1">
      <alignment horizontal="right"/>
    </xf>
    <xf numFmtId="0" fontId="11" fillId="3" borderId="5" xfId="0" applyFont="1" applyFill="1" applyBorder="1"/>
    <xf numFmtId="0" fontId="11" fillId="3" borderId="6" xfId="0" applyFont="1" applyFill="1" applyBorder="1"/>
    <xf numFmtId="44" fontId="11" fillId="3" borderId="6" xfId="0" applyNumberFormat="1" applyFont="1" applyFill="1" applyBorder="1"/>
    <xf numFmtId="44" fontId="11" fillId="3" borderId="6" xfId="0" applyNumberFormat="1" applyFont="1" applyFill="1" applyBorder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2" fillId="0" borderId="0" xfId="0" applyNumberFormat="1" applyFont="1" applyAlignment="1">
      <alignment horizontal="left"/>
    </xf>
    <xf numFmtId="166" fontId="0" fillId="0" borderId="0" xfId="0" applyNumberFormat="1"/>
    <xf numFmtId="167" fontId="0" fillId="0" borderId="0" xfId="1" applyNumberFormat="1" applyFont="1" applyFill="1" applyBorder="1" applyAlignment="1">
      <alignment horizontal="right"/>
    </xf>
    <xf numFmtId="167" fontId="7" fillId="0" borderId="0" xfId="0" applyNumberFormat="1" applyFont="1"/>
    <xf numFmtId="167" fontId="3" fillId="0" borderId="0" xfId="1" applyNumberFormat="1" applyFont="1" applyFill="1" applyBorder="1" applyAlignment="1">
      <alignment horizontal="right"/>
    </xf>
    <xf numFmtId="166" fontId="7" fillId="0" borderId="0" xfId="0" applyNumberFormat="1" applyFont="1"/>
    <xf numFmtId="167" fontId="0" fillId="0" borderId="0" xfId="1" applyNumberFormat="1" applyFont="1" applyFill="1" applyBorder="1"/>
    <xf numFmtId="1" fontId="2" fillId="0" borderId="0" xfId="0" applyNumberFormat="1" applyFont="1" applyAlignment="1">
      <alignment horizontal="left"/>
    </xf>
    <xf numFmtId="1" fontId="5" fillId="0" borderId="0" xfId="0" applyNumberFormat="1" applyFont="1"/>
    <xf numFmtId="1" fontId="0" fillId="0" borderId="0" xfId="0" applyNumberFormat="1"/>
    <xf numFmtId="44" fontId="3" fillId="0" borderId="0" xfId="0" applyNumberFormat="1" applyFont="1"/>
    <xf numFmtId="44" fontId="11" fillId="3" borderId="7" xfId="0" applyNumberFormat="1" applyFont="1" applyFill="1" applyBorder="1" applyAlignment="1">
      <alignment horizontal="right"/>
    </xf>
    <xf numFmtId="0" fontId="14" fillId="0" borderId="0" xfId="0" applyFont="1"/>
    <xf numFmtId="169" fontId="3" fillId="0" borderId="3" xfId="0" applyNumberFormat="1" applyFont="1" applyBorder="1"/>
    <xf numFmtId="169" fontId="3" fillId="0" borderId="0" xfId="0" applyNumberFormat="1" applyFont="1"/>
    <xf numFmtId="169" fontId="3" fillId="0" borderId="0" xfId="2" applyNumberFormat="1" applyFont="1" applyFill="1" applyBorder="1"/>
    <xf numFmtId="170" fontId="0" fillId="0" borderId="0" xfId="0" applyNumberFormat="1"/>
    <xf numFmtId="44" fontId="7" fillId="0" borderId="0" xfId="1" applyFont="1"/>
    <xf numFmtId="0" fontId="18" fillId="0" borderId="0" xfId="0" applyFont="1" applyAlignment="1">
      <alignment vertical="center" wrapText="1"/>
    </xf>
    <xf numFmtId="0" fontId="18" fillId="4" borderId="11" xfId="0" applyFont="1" applyFill="1" applyBorder="1" applyAlignment="1">
      <alignment horizontal="center" vertical="center" wrapText="1"/>
    </xf>
    <xf numFmtId="0" fontId="19" fillId="4" borderId="10" xfId="0" applyFont="1" applyFill="1" applyBorder="1" applyAlignment="1">
      <alignment horizontal="center" vertical="center" wrapText="1"/>
    </xf>
    <xf numFmtId="0" fontId="19" fillId="4" borderId="12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22" fillId="0" borderId="0" xfId="0" applyFont="1"/>
    <xf numFmtId="0" fontId="7" fillId="0" borderId="25" xfId="0" applyFont="1" applyBorder="1"/>
    <xf numFmtId="169" fontId="1" fillId="0" borderId="26" xfId="0" applyNumberFormat="1" applyFont="1" applyBorder="1"/>
    <xf numFmtId="0" fontId="1" fillId="0" borderId="26" xfId="1" applyNumberFormat="1" applyFont="1" applyFill="1" applyBorder="1"/>
    <xf numFmtId="166" fontId="1" fillId="0" borderId="26" xfId="0" applyNumberFormat="1" applyFont="1" applyBorder="1"/>
    <xf numFmtId="0" fontId="1" fillId="0" borderId="26" xfId="0" applyFont="1" applyBorder="1"/>
    <xf numFmtId="44" fontId="23" fillId="0" borderId="0" xfId="1" applyFont="1" applyFill="1" applyBorder="1" applyAlignment="1">
      <alignment horizontal="right"/>
    </xf>
    <xf numFmtId="44" fontId="1" fillId="0" borderId="26" xfId="1" applyFont="1" applyFill="1" applyBorder="1" applyAlignment="1">
      <alignment horizontal="right"/>
    </xf>
    <xf numFmtId="14" fontId="24" fillId="0" borderId="4" xfId="0" applyNumberFormat="1" applyFont="1" applyBorder="1"/>
    <xf numFmtId="0" fontId="24" fillId="0" borderId="4" xfId="0" applyFont="1" applyBorder="1"/>
    <xf numFmtId="44" fontId="24" fillId="0" borderId="4" xfId="1" applyFont="1" applyFill="1" applyBorder="1"/>
    <xf numFmtId="44" fontId="1" fillId="0" borderId="26" xfId="1" applyFont="1" applyFill="1" applyBorder="1"/>
    <xf numFmtId="0" fontId="8" fillId="0" borderId="3" xfId="0" applyFont="1" applyBorder="1"/>
    <xf numFmtId="0" fontId="8" fillId="0" borderId="4" xfId="0" applyFont="1" applyBorder="1"/>
    <xf numFmtId="14" fontId="8" fillId="0" borderId="4" xfId="0" applyNumberFormat="1" applyFont="1" applyBorder="1"/>
    <xf numFmtId="167" fontId="8" fillId="0" borderId="27" xfId="0" applyNumberFormat="1" applyFont="1" applyBorder="1"/>
    <xf numFmtId="14" fontId="3" fillId="0" borderId="0" xfId="0" applyNumberFormat="1" applyFont="1"/>
    <xf numFmtId="44" fontId="25" fillId="0" borderId="28" xfId="1" applyFont="1" applyBorder="1"/>
    <xf numFmtId="44" fontId="25" fillId="0" borderId="29" xfId="1" applyFont="1" applyBorder="1"/>
    <xf numFmtId="44" fontId="25" fillId="0" borderId="0" xfId="1" applyFont="1" applyBorder="1"/>
    <xf numFmtId="0" fontId="3" fillId="0" borderId="0" xfId="1" applyNumberFormat="1" applyFont="1" applyFill="1" applyBorder="1"/>
    <xf numFmtId="166" fontId="3" fillId="0" borderId="0" xfId="0" applyNumberFormat="1" applyFont="1"/>
    <xf numFmtId="0" fontId="2" fillId="0" borderId="0" xfId="3" applyFont="1" applyAlignment="1">
      <alignment horizontal="left"/>
    </xf>
    <xf numFmtId="0" fontId="3" fillId="0" borderId="0" xfId="3"/>
    <xf numFmtId="172" fontId="0" fillId="0" borderId="0" xfId="4" applyNumberFormat="1" applyFont="1" applyFill="1" applyBorder="1" applyAlignment="1">
      <alignment horizontal="right"/>
    </xf>
    <xf numFmtId="0" fontId="5" fillId="0" borderId="0" xfId="3" applyFont="1"/>
    <xf numFmtId="0" fontId="22" fillId="0" borderId="0" xfId="3" applyFont="1"/>
    <xf numFmtId="14" fontId="1" fillId="0" borderId="0" xfId="3" applyNumberFormat="1" applyFont="1"/>
    <xf numFmtId="172" fontId="5" fillId="0" borderId="0" xfId="4" applyNumberFormat="1" applyFont="1" applyFill="1" applyBorder="1" applyAlignment="1">
      <alignment horizontal="right"/>
    </xf>
    <xf numFmtId="172" fontId="3" fillId="0" borderId="0" xfId="4" applyNumberFormat="1" applyFont="1" applyFill="1" applyBorder="1" applyAlignment="1">
      <alignment horizontal="right"/>
    </xf>
    <xf numFmtId="169" fontId="0" fillId="0" borderId="0" xfId="5" applyNumberFormat="1" applyFont="1"/>
    <xf numFmtId="0" fontId="2" fillId="0" borderId="0" xfId="4" applyNumberFormat="1" applyFont="1" applyFill="1" applyBorder="1" applyAlignment="1">
      <alignment horizontal="left"/>
    </xf>
    <xf numFmtId="0" fontId="0" fillId="0" borderId="0" xfId="4" applyNumberFormat="1" applyFont="1" applyFill="1" applyBorder="1"/>
    <xf numFmtId="0" fontId="1" fillId="0" borderId="26" xfId="4" applyNumberFormat="1" applyFont="1" applyFill="1" applyBorder="1"/>
    <xf numFmtId="14" fontId="2" fillId="0" borderId="0" xfId="5" applyNumberFormat="1" applyFont="1" applyFill="1" applyBorder="1" applyAlignment="1">
      <alignment horizontal="left"/>
    </xf>
    <xf numFmtId="4" fontId="2" fillId="0" borderId="0" xfId="4" applyNumberFormat="1" applyFont="1" applyFill="1" applyBorder="1" applyAlignment="1">
      <alignment horizontal="right"/>
    </xf>
    <xf numFmtId="0" fontId="13" fillId="0" borderId="0" xfId="0" applyFont="1"/>
    <xf numFmtId="14" fontId="0" fillId="0" borderId="0" xfId="5" applyNumberFormat="1" applyFont="1" applyFill="1" applyBorder="1"/>
    <xf numFmtId="4" fontId="0" fillId="0" borderId="0" xfId="4" applyNumberFormat="1" applyFont="1" applyFill="1" applyBorder="1" applyAlignment="1">
      <alignment horizontal="right"/>
    </xf>
    <xf numFmtId="167" fontId="0" fillId="0" borderId="0" xfId="4" applyNumberFormat="1" applyFont="1" applyFill="1" applyBorder="1" applyAlignment="1">
      <alignment horizontal="right"/>
    </xf>
    <xf numFmtId="14" fontId="3" fillId="0" borderId="0" xfId="5" applyNumberFormat="1" applyFont="1" applyFill="1" applyBorder="1"/>
    <xf numFmtId="171" fontId="0" fillId="0" borderId="0" xfId="4" applyFont="1" applyFill="1" applyBorder="1" applyAlignment="1">
      <alignment horizontal="right"/>
    </xf>
    <xf numFmtId="171" fontId="3" fillId="0" borderId="0" xfId="4" applyFont="1" applyFill="1" applyBorder="1" applyAlignment="1">
      <alignment horizontal="right"/>
    </xf>
    <xf numFmtId="171" fontId="0" fillId="0" borderId="0" xfId="4" applyFont="1"/>
    <xf numFmtId="14" fontId="1" fillId="0" borderId="26" xfId="5" applyNumberFormat="1" applyFont="1" applyFill="1" applyBorder="1"/>
    <xf numFmtId="169" fontId="3" fillId="0" borderId="30" xfId="0" applyNumberFormat="1" applyFont="1" applyBorder="1"/>
    <xf numFmtId="0" fontId="8" fillId="0" borderId="31" xfId="0" applyFont="1" applyBorder="1"/>
    <xf numFmtId="14" fontId="3" fillId="0" borderId="31" xfId="5" applyNumberFormat="1" applyFont="1" applyFill="1" applyBorder="1"/>
    <xf numFmtId="14" fontId="3" fillId="0" borderId="31" xfId="0" applyNumberFormat="1" applyFont="1" applyBorder="1"/>
    <xf numFmtId="0" fontId="7" fillId="0" borderId="31" xfId="0" applyFont="1" applyBorder="1"/>
    <xf numFmtId="44" fontId="23" fillId="0" borderId="31" xfId="1" applyFont="1" applyFill="1" applyBorder="1" applyAlignment="1">
      <alignment horizontal="right"/>
    </xf>
    <xf numFmtId="171" fontId="0" fillId="0" borderId="0" xfId="4" applyFont="1" applyFill="1" applyBorder="1"/>
    <xf numFmtId="171" fontId="3" fillId="0" borderId="0" xfId="4" applyFont="1" applyFill="1" applyBorder="1"/>
    <xf numFmtId="168" fontId="0" fillId="0" borderId="0" xfId="0" applyNumberFormat="1"/>
    <xf numFmtId="174" fontId="0" fillId="0" borderId="0" xfId="2" applyNumberFormat="1" applyFont="1"/>
    <xf numFmtId="174" fontId="3" fillId="0" borderId="0" xfId="2" applyNumberFormat="1" applyFont="1" applyFill="1" applyBorder="1"/>
    <xf numFmtId="174" fontId="0" fillId="0" borderId="0" xfId="2" applyNumberFormat="1" applyFont="1" applyFill="1" applyBorder="1"/>
    <xf numFmtId="174" fontId="6" fillId="2" borderId="1" xfId="2" applyNumberFormat="1" applyFont="1" applyFill="1" applyBorder="1"/>
    <xf numFmtId="174" fontId="24" fillId="0" borderId="4" xfId="2" applyNumberFormat="1" applyFont="1" applyFill="1" applyBorder="1"/>
    <xf numFmtId="174" fontId="1" fillId="0" borderId="26" xfId="2" applyNumberFormat="1" applyFont="1" applyBorder="1"/>
    <xf numFmtId="0" fontId="28" fillId="0" borderId="0" xfId="0" applyFont="1"/>
    <xf numFmtId="0" fontId="29" fillId="0" borderId="0" xfId="0" applyFont="1"/>
    <xf numFmtId="44" fontId="1" fillId="0" borderId="0" xfId="1" applyFont="1" applyFill="1" applyBorder="1" applyAlignment="1">
      <alignment horizontal="right"/>
    </xf>
    <xf numFmtId="20" fontId="0" fillId="0" borderId="0" xfId="0" applyNumberFormat="1"/>
    <xf numFmtId="20" fontId="3" fillId="0" borderId="0" xfId="0" applyNumberFormat="1" applyFont="1"/>
    <xf numFmtId="174" fontId="3" fillId="0" borderId="0" xfId="2" applyNumberFormat="1" applyFont="1"/>
    <xf numFmtId="0" fontId="30" fillId="0" borderId="0" xfId="0" applyFont="1"/>
    <xf numFmtId="44" fontId="3" fillId="0" borderId="0" xfId="1" applyFont="1"/>
    <xf numFmtId="169" fontId="0" fillId="0" borderId="0" xfId="2" applyNumberFormat="1" applyFont="1"/>
    <xf numFmtId="0" fontId="18" fillId="0" borderId="20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44" fontId="18" fillId="0" borderId="22" xfId="0" applyNumberFormat="1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44" fontId="18" fillId="0" borderId="18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44" fontId="18" fillId="0" borderId="14" xfId="0" applyNumberFormat="1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</cellXfs>
  <cellStyles count="7">
    <cellStyle name="Comma" xfId="2" builtinId="3"/>
    <cellStyle name="Currency" xfId="1" builtinId="4"/>
    <cellStyle name="Komma 2" xfId="5" xr:uid="{C6908364-701A-D442-B751-59D261FC15E7}"/>
    <cellStyle name="Normal" xfId="0" builtinId="0"/>
    <cellStyle name="Standard 2" xfId="3" xr:uid="{600E1CF9-4974-8A45-BF5D-D2ACBC381CE7}"/>
    <cellStyle name="Standard 3" xfId="6" xr:uid="{EEF324B8-36DC-164E-B5A4-44076DBCEDE1}"/>
    <cellStyle name="Währung 2" xfId="4" xr:uid="{874BB9D6-815B-A047-9AAA-DD5A67CEF237}"/>
  </cellStyles>
  <dxfs count="67">
    <dxf>
      <numFmt numFmtId="174" formatCode="_-* #,##0.0000_-;\-* #,##0.0000_-;_-* &quot;-&quot;??_-;_-@_-"/>
    </dxf>
    <dxf>
      <numFmt numFmtId="174" formatCode="_-* #,##0.0000_-;\-* #,##0.0000_-;_-* &quot;-&quot;??_-;_-@_-"/>
    </dxf>
    <dxf>
      <numFmt numFmtId="174" formatCode="_-* #,##0.0000_-;\-* #,##0.00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rgb="FF000000"/>
          <bgColor rgb="FF00000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7" formatCode="#,##0.00\ _€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7" formatCode="#,##0.00\ _€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7" formatCode="#,##0.00\ _€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[$]dd/mm/yy;@" x16r2:formatCode16="[$-en-DE,1]dd/mm/yy;@"/>
      <fill>
        <patternFill patternType="none">
          <fgColor indexed="64"/>
          <bgColor indexed="65"/>
        </patternFill>
      </fill>
    </dxf>
    <dxf>
      <numFmt numFmtId="165" formatCode="#,##0.0000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numFmt numFmtId="169" formatCode="_-* #,##0.000000_-;\-* #,##0.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174" formatCode="_-* #,##0.0000_-;\-* #,##0.00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0" formatCode="dd\.mm\.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9" formatCode="_-* #,##0.000000_-;\-* #,##0.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4" formatCode="_-* #,##0.0000_-;\-* #,##0.0000_-;_-* &quot;-&quot;??_-;_-@_-"/>
      <fill>
        <patternFill patternType="none">
          <fgColor indexed="64"/>
          <bgColor indexed="65"/>
        </patternFill>
      </fill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342900</xdr:colOff>
      <xdr:row>1</xdr:row>
      <xdr:rowOff>50800</xdr:rowOff>
    </xdr:from>
    <xdr:to>
      <xdr:col>8</xdr:col>
      <xdr:colOff>495300</xdr:colOff>
      <xdr:row>7</xdr:row>
      <xdr:rowOff>152400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BD73CE7E-517B-6B49-A627-A47F518F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0" y="254000"/>
          <a:ext cx="2628900" cy="1244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111407</xdr:colOff>
      <xdr:row>6</xdr:row>
      <xdr:rowOff>103206</xdr:rowOff>
    </xdr:from>
    <xdr:to>
      <xdr:col>15</xdr:col>
      <xdr:colOff>419100</xdr:colOff>
      <xdr:row>11</xdr:row>
      <xdr:rowOff>165100</xdr:rowOff>
    </xdr:to>
    <xdr:sp macro="[0]!Makro1" textlink="">
      <xdr:nvSpPr>
        <xdr:cNvPr id="2" name="Abgerundetes Rechteck 1">
          <a:extLst>
            <a:ext uri="{FF2B5EF4-FFF2-40B4-BE49-F238E27FC236}">
              <a16:creationId xmlns:a16="http://schemas.microsoft.com/office/drawing/2014/main" id="{A8271485-E3F2-D048-A3D6-25869B6A7428}"/>
            </a:ext>
          </a:extLst>
        </xdr:cNvPr>
        <xdr:cNvSpPr/>
      </xdr:nvSpPr>
      <xdr:spPr>
        <a:xfrm>
          <a:off x="13535307" y="1805006"/>
          <a:ext cx="2911193" cy="106519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Klickem um Makro zu starten</a:t>
          </a:r>
          <a:endParaRPr lang="de-DE" sz="1200" baseline="0"/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algn="l"/>
          <a:r>
            <a:rPr lang="de-DE" sz="800" baseline="0"/>
            <a:t>- Umbenennung Short Long</a:t>
          </a:r>
        </a:p>
        <a:p>
          <a:pPr algn="l"/>
          <a:r>
            <a:rPr lang="de-DE" sz="800" baseline="0"/>
            <a:t>- Übertragung von "unbekannt" in "Fehlende Anschaffungen"</a:t>
          </a:r>
        </a:p>
        <a:p>
          <a:pPr algn="l"/>
          <a:r>
            <a:rPr lang="de-DE" sz="800" baseline="0"/>
            <a:t>- Reiter bekommt eine grüne Farbe</a:t>
          </a:r>
          <a:endParaRPr lang="de-DE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117125</xdr:colOff>
      <xdr:row>4</xdr:row>
      <xdr:rowOff>62088</xdr:rowOff>
    </xdr:from>
    <xdr:to>
      <xdr:col>11</xdr:col>
      <xdr:colOff>685800</xdr:colOff>
      <xdr:row>7</xdr:row>
      <xdr:rowOff>177800</xdr:rowOff>
    </xdr:to>
    <xdr:sp macro="[0]!Einkommensbericht" textlink="">
      <xdr:nvSpPr>
        <xdr:cNvPr id="2" name="Abgerundetes Rechteck 1">
          <a:extLst>
            <a:ext uri="{FF2B5EF4-FFF2-40B4-BE49-F238E27FC236}">
              <a16:creationId xmlns:a16="http://schemas.microsoft.com/office/drawing/2014/main" id="{FFB4421B-9E2D-7148-8CBF-131433B2A286}"/>
            </a:ext>
          </a:extLst>
        </xdr:cNvPr>
        <xdr:cNvSpPr/>
      </xdr:nvSpPr>
      <xdr:spPr>
        <a:xfrm>
          <a:off x="10150125" y="1154288"/>
          <a:ext cx="2397475" cy="86501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Makro starten:</a:t>
          </a:r>
          <a:endParaRPr lang="de-DE" sz="1200" baseline="0"/>
        </a:p>
        <a:p>
          <a:pPr algn="l"/>
          <a:r>
            <a:rPr lang="de-DE" sz="800" baseline="0"/>
            <a:t>- 4 Stellen hinter Komma</a:t>
          </a:r>
        </a:p>
        <a:p>
          <a:pPr algn="l"/>
          <a:r>
            <a:rPr lang="de-DE" sz="800" baseline="0"/>
            <a:t>- Umbenennung Zinsen in Ausgleichszahlung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Reiter grün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101601</xdr:colOff>
      <xdr:row>3</xdr:row>
      <xdr:rowOff>25400</xdr:rowOff>
    </xdr:from>
    <xdr:to>
      <xdr:col>11</xdr:col>
      <xdr:colOff>88901</xdr:colOff>
      <xdr:row>7</xdr:row>
      <xdr:rowOff>12700</xdr:rowOff>
    </xdr:to>
    <xdr:sp macro="[0]!SpendenSchenkung" textlink="">
      <xdr:nvSpPr>
        <xdr:cNvPr id="2" name="Abgerundetes Rechteck 1">
          <a:extLst>
            <a:ext uri="{FF2B5EF4-FFF2-40B4-BE49-F238E27FC236}">
              <a16:creationId xmlns:a16="http://schemas.microsoft.com/office/drawing/2014/main" id="{795FAD20-B41E-9C42-8699-BE2E407B33F1}"/>
            </a:ext>
          </a:extLst>
        </xdr:cNvPr>
        <xdr:cNvSpPr/>
      </xdr:nvSpPr>
      <xdr:spPr>
        <a:xfrm>
          <a:off x="12179301" y="876300"/>
          <a:ext cx="1790700" cy="9271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Makro starten:</a:t>
          </a:r>
          <a:endParaRPr lang="de-DE" sz="1200" baseline="0"/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Druckbereich anpassen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Reiter grün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114300</xdr:rowOff>
    </xdr:from>
    <xdr:to>
      <xdr:col>6</xdr:col>
      <xdr:colOff>1358900</xdr:colOff>
      <xdr:row>5</xdr:row>
      <xdr:rowOff>25400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4B4BEE04-6CFC-B6E7-A8F1-30D991DDCF44}"/>
            </a:ext>
          </a:extLst>
        </xdr:cNvPr>
        <xdr:cNvSpPr txBox="1"/>
      </xdr:nvSpPr>
      <xdr:spPr>
        <a:xfrm>
          <a:off x="2273300" y="114300"/>
          <a:ext cx="5613400" cy="1219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5000">
              <a:solidFill>
                <a:sysClr val="windowText" lastClr="000000"/>
              </a:solidFill>
            </a:rPr>
            <a:t>NICHT EXPORTIEREN</a:t>
          </a:r>
        </a:p>
        <a:p>
          <a:r>
            <a:rPr lang="de-DE" sz="2000">
              <a:solidFill>
                <a:sysClr val="windowText" lastClr="000000"/>
              </a:solidFill>
            </a:rPr>
            <a:t>Nur Gebühren aus CT in Zelle A8 kopieren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63500</xdr:colOff>
      <xdr:row>5</xdr:row>
      <xdr:rowOff>114300</xdr:rowOff>
    </xdr:from>
    <xdr:to>
      <xdr:col>14</xdr:col>
      <xdr:colOff>498193</xdr:colOff>
      <xdr:row>9</xdr:row>
      <xdr:rowOff>0</xdr:rowOff>
    </xdr:to>
    <xdr:sp macro="[0]!CleanAssets" textlink="">
      <xdr:nvSpPr>
        <xdr:cNvPr id="3" name="Abgerundetes Rechteck 2">
          <a:extLst>
            <a:ext uri="{FF2B5EF4-FFF2-40B4-BE49-F238E27FC236}">
              <a16:creationId xmlns:a16="http://schemas.microsoft.com/office/drawing/2014/main" id="{DF3931F6-1F17-D24B-9B55-BDA4617B8A3C}"/>
            </a:ext>
          </a:extLst>
        </xdr:cNvPr>
        <xdr:cNvSpPr/>
      </xdr:nvSpPr>
      <xdr:spPr>
        <a:xfrm>
          <a:off x="11950700" y="1574800"/>
          <a:ext cx="3736693" cy="6477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600"/>
            <a:t>Klickem um Makro zu starten</a:t>
          </a:r>
          <a:endParaRPr lang="de-DE" sz="1600" baseline="0"/>
        </a:p>
        <a:p>
          <a:pPr algn="l"/>
          <a:r>
            <a:rPr lang="de-DE" sz="1000" baseline="0"/>
            <a:t>- Es werden die Positionen nach Datum zusammengeführt.</a:t>
          </a:r>
        </a:p>
        <a:p>
          <a:pPr algn="l"/>
          <a:r>
            <a:rPr lang="de-DE" sz="1000" baseline="0"/>
            <a:t>- Dauert ca. 30 Sekunden</a:t>
          </a:r>
          <a:endParaRPr lang="de-DE" sz="1000"/>
        </a:p>
      </xdr:txBody>
    </xdr:sp>
    <xdr:clientData/>
  </xdr:twoCellAnchor>
  <xdr:twoCellAnchor>
    <xdr:from>
      <xdr:col>3</xdr:col>
      <xdr:colOff>1295400</xdr:colOff>
      <xdr:row>0</xdr:row>
      <xdr:rowOff>114300</xdr:rowOff>
    </xdr:from>
    <xdr:to>
      <xdr:col>7</xdr:col>
      <xdr:colOff>1041400</xdr:colOff>
      <xdr:row>5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786CD4FD-6C53-D849-9CC1-8E04E5703639}"/>
            </a:ext>
          </a:extLst>
        </xdr:cNvPr>
        <xdr:cNvSpPr txBox="1"/>
      </xdr:nvSpPr>
      <xdr:spPr>
        <a:xfrm>
          <a:off x="4165600" y="114300"/>
          <a:ext cx="5613400" cy="1219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5000">
              <a:solidFill>
                <a:sysClr val="windowText" lastClr="000000"/>
              </a:solidFill>
            </a:rPr>
            <a:t>NICHT EXPORTIEREN</a:t>
          </a:r>
        </a:p>
        <a:p>
          <a:r>
            <a:rPr lang="de-DE" sz="2000">
              <a:solidFill>
                <a:sysClr val="windowText" lastClr="000000"/>
              </a:solidFill>
            </a:rPr>
            <a:t>Nur Bestände aus CT in Zelle A8 kopieren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35278</xdr:colOff>
      <xdr:row>3</xdr:row>
      <xdr:rowOff>97366</xdr:rowOff>
    </xdr:from>
    <xdr:to>
      <xdr:col>11</xdr:col>
      <xdr:colOff>296333</xdr:colOff>
      <xdr:row>6</xdr:row>
      <xdr:rowOff>183444</xdr:rowOff>
    </xdr:to>
    <xdr:sp macro="[0]!NichtVerkauftDatum" textlink="">
      <xdr:nvSpPr>
        <xdr:cNvPr id="2" name="Abgerundetes Rechteck 1">
          <a:extLst>
            <a:ext uri="{FF2B5EF4-FFF2-40B4-BE49-F238E27FC236}">
              <a16:creationId xmlns:a16="http://schemas.microsoft.com/office/drawing/2014/main" id="{5E41C8A4-EB46-5D45-898E-2746DE8E1A9B}"/>
            </a:ext>
          </a:extLst>
        </xdr:cNvPr>
        <xdr:cNvSpPr/>
      </xdr:nvSpPr>
      <xdr:spPr>
        <a:xfrm>
          <a:off x="8925278" y="944033"/>
          <a:ext cx="2758722" cy="89041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Klickem um Makro zu starten</a:t>
          </a:r>
          <a:endParaRPr lang="de-DE" sz="1200" baseline="0"/>
        </a:p>
        <a:p>
          <a:pPr algn="l"/>
          <a:r>
            <a:rPr lang="de-DE" sz="800" baseline="0"/>
            <a:t>- Druckbereich anpassen</a:t>
          </a:r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algn="l"/>
          <a:r>
            <a:rPr lang="de-DE" sz="800" baseline="0"/>
            <a:t>- Reiter bekommt eine grüne Farbe</a:t>
          </a:r>
          <a:endParaRPr lang="de-DE" sz="8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241301</xdr:colOff>
      <xdr:row>3</xdr:row>
      <xdr:rowOff>25401</xdr:rowOff>
    </xdr:from>
    <xdr:to>
      <xdr:col>12</xdr:col>
      <xdr:colOff>762000</xdr:colOff>
      <xdr:row>6</xdr:row>
      <xdr:rowOff>165100</xdr:rowOff>
    </xdr:to>
    <xdr:sp macro="[0]!NichtVerkaufteGruppiert" textlink="">
      <xdr:nvSpPr>
        <xdr:cNvPr id="6" name="Abgerundetes Rechteck 5">
          <a:extLst>
            <a:ext uri="{FF2B5EF4-FFF2-40B4-BE49-F238E27FC236}">
              <a16:creationId xmlns:a16="http://schemas.microsoft.com/office/drawing/2014/main" id="{A4170769-2465-6104-4423-6298F27FD86A}"/>
            </a:ext>
          </a:extLst>
        </xdr:cNvPr>
        <xdr:cNvSpPr/>
      </xdr:nvSpPr>
      <xdr:spPr>
        <a:xfrm>
          <a:off x="8509001" y="876301"/>
          <a:ext cx="2171699" cy="888999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Klickem um Makro zu starten</a:t>
          </a:r>
          <a:endParaRPr lang="de-DE" sz="1200" baseline="0"/>
        </a:p>
        <a:p>
          <a:pPr algn="l"/>
          <a:r>
            <a:rPr lang="de-DE" sz="800" baseline="0"/>
            <a:t>- Druckbereich anpassen</a:t>
          </a:r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algn="l"/>
          <a:r>
            <a:rPr lang="de-DE" sz="800" baseline="0"/>
            <a:t>- Reiter bekommt eine grüne Farbe</a:t>
          </a:r>
          <a:endParaRPr lang="de-DE" sz="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231423</xdr:colOff>
      <xdr:row>1</xdr:row>
      <xdr:rowOff>146755</xdr:rowOff>
    </xdr:from>
    <xdr:to>
      <xdr:col>13</xdr:col>
      <xdr:colOff>366889</xdr:colOff>
      <xdr:row>6</xdr:row>
      <xdr:rowOff>98778</xdr:rowOff>
    </xdr:to>
    <xdr:sp macro="[0]!Transaktionsliste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FE43460-B536-0F43-8A36-8357924AA4F8}"/>
            </a:ext>
          </a:extLst>
        </xdr:cNvPr>
        <xdr:cNvSpPr/>
      </xdr:nvSpPr>
      <xdr:spPr>
        <a:xfrm>
          <a:off x="16557979" y="513644"/>
          <a:ext cx="1800577" cy="110913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600"/>
            <a:t>Makro starten:</a:t>
          </a:r>
          <a:endParaRPr lang="de-DE" sz="1600" baseline="0"/>
        </a:p>
        <a:p>
          <a:pPr algn="l"/>
          <a:r>
            <a:rPr lang="de-DE" sz="800" baseline="0"/>
            <a:t>- Zinsen in Ausgleichszahlungen</a:t>
          </a:r>
        </a:p>
        <a:p>
          <a:pPr algn="l"/>
          <a:r>
            <a:rPr lang="de-DE" sz="800" baseline="0"/>
            <a:t>- Euro</a:t>
          </a:r>
        </a:p>
        <a:p>
          <a:pPr algn="l"/>
          <a:r>
            <a:rPr lang="de-DE" sz="800" baseline="0"/>
            <a:t>- Formatierung</a:t>
          </a:r>
        </a:p>
        <a:p>
          <a:pPr algn="l"/>
          <a:r>
            <a:rPr lang="de-DE" sz="800" baseline="0"/>
            <a:t>- Datum von neu nach alt sortieren</a:t>
          </a:r>
        </a:p>
        <a:p>
          <a:pPr algn="l"/>
          <a:r>
            <a:rPr lang="de-DE" sz="800" baseline="0"/>
            <a:t>- Reiter grün</a:t>
          </a:r>
        </a:p>
      </xdr:txBody>
    </xdr:sp>
    <xdr:clientData/>
  </xdr:twoCellAnchor>
  <xdr:twoCellAnchor>
    <xdr:from>
      <xdr:col>13</xdr:col>
      <xdr:colOff>452966</xdr:colOff>
      <xdr:row>0</xdr:row>
      <xdr:rowOff>15523</xdr:rowOff>
    </xdr:from>
    <xdr:to>
      <xdr:col>19</xdr:col>
      <xdr:colOff>818445</xdr:colOff>
      <xdr:row>6</xdr:row>
      <xdr:rowOff>127000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D23F1EC4-49EE-2940-BF3B-A8D002178AE4}"/>
            </a:ext>
          </a:extLst>
        </xdr:cNvPr>
        <xdr:cNvSpPr txBox="1"/>
      </xdr:nvSpPr>
      <xdr:spPr>
        <a:xfrm>
          <a:off x="18444633" y="15523"/>
          <a:ext cx="5360812" cy="16354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Cointracking in Trade Liste -&gt; „Zur Vollansicht wechseln“ -&gt; Spalten Verwalten -&gt; </a:t>
          </a:r>
        </a:p>
        <a:p>
          <a:r>
            <a:rPr lang="de-DE" sz="1100"/>
            <a:t>Aktivieren: 4.</a:t>
          </a:r>
          <a:r>
            <a:rPr lang="de-DE" sz="1100" baseline="0"/>
            <a:t> und</a:t>
          </a:r>
          <a:r>
            <a:rPr lang="de-DE" sz="1100"/>
            <a:t> 8. </a:t>
          </a:r>
        </a:p>
        <a:p>
          <a:r>
            <a:rPr lang="de-DE" sz="1100"/>
            <a:t>Deaktivieren:</a:t>
          </a:r>
          <a:r>
            <a:rPr lang="de-DE" sz="1100" baseline="0"/>
            <a:t> </a:t>
          </a:r>
          <a:r>
            <a:rPr lang="de-DE" sz="1100"/>
            <a:t>15. und 20.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de-DE" sz="1100"/>
          </a:br>
          <a:r>
            <a:rPr lang="de-DE" sz="1100"/>
            <a:t>REGEX</a:t>
          </a:r>
          <a:r>
            <a:rPr lang="de-DE" sz="1100" baseline="0"/>
            <a:t> für Datum: </a:t>
          </a: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(.2012|.2013|.2014|.2015|.2016|.2017|.2018|.2019|.2020|.2021|.2020|.2021)</a:t>
          </a:r>
        </a:p>
        <a:p>
          <a:endParaRPr lang="de-DE" sz="1100"/>
        </a:p>
        <a:p>
          <a:r>
            <a:rPr lang="de-DE" sz="1100"/>
            <a:t>Download als Excel und von dort die Daten kopieren.</a:t>
          </a:r>
        </a:p>
        <a:p>
          <a:r>
            <a:rPr lang="de-DE" sz="1100"/>
            <a:t>Kommentare wie "offen" löschen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h@pekuna.de" id="{707EF00E-11DC-8A4D-95E9-46FA2D5A3D40}" userId="7752644b44f52abf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@pekuna.de" refreshedDate="44568.70379699074" createdVersion="7" refreshedVersion="7" minRefreshableVersion="3" recordCount="1" xr:uid="{B58555B6-8F15-9E4C-8B7C-0B02E4F2E77A}">
  <cacheSource type="worksheet">
    <worksheetSource name="Table2"/>
  </cacheSource>
  <cacheFields count="11">
    <cacheField name="Anzahl" numFmtId="169">
      <sharedItems containsNonDate="0" containsString="0" containsBlank="1"/>
    </cacheField>
    <cacheField name="Währung" numFmtId="0">
      <sharedItems containsNonDate="0" containsString="0" containsBlank="1"/>
    </cacheField>
    <cacheField name="Erwerbsdatum" numFmtId="14">
      <sharedItems containsNonDate="0" containsString="0" containsBlank="1"/>
    </cacheField>
    <cacheField name="Verkaufsdatum" numFmtId="14">
      <sharedItems containsNonDate="0" containsString="0" containsBlank="1"/>
    </cacheField>
    <cacheField name="Haltefrist" numFmtId="0">
      <sharedItems containsNonDate="0" containsString="0" containsBlank="1"/>
    </cacheField>
    <cacheField name="Kauf /Eingang bei" numFmtId="0">
      <sharedItems containsNonDate="0" containsString="0" containsBlank="1" count="1">
        <m/>
      </sharedItems>
    </cacheField>
    <cacheField name="Verkauf /Ausgang bei" numFmtId="0">
      <sharedItems containsNonDate="0" containsString="0" containsBlank="1"/>
    </cacheField>
    <cacheField name="Typ" numFmtId="0">
      <sharedItems containsNonDate="0" containsString="0" containsBlank="1"/>
    </cacheField>
    <cacheField name="Kostenbasis in EUR" numFmtId="44">
      <sharedItems containsNonDate="0" containsString="0" containsBlank="1"/>
    </cacheField>
    <cacheField name="Erlös in EUR" numFmtId="44">
      <sharedItems containsNonDate="0" containsString="0" containsBlank="1"/>
    </cacheField>
    <cacheField name="Gewinn in EUR" numFmtId="4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15AE32-A5B3-EC4F-B238-83C68080C6A8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A5" firstHeaderRow="1" firstDataRow="1" firstDataCol="1"/>
  <pivotFields count="11"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5"/>
  </rowFields>
  <rowItems count="2">
    <i>
      <x/>
    </i>
    <i t="grand">
      <x/>
    </i>
  </rowItems>
  <colItems count="1">
    <i/>
  </colItem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42C5B3-E768-C24F-957F-7AA66CC8640D}" name="Table2" displayName="Table2" ref="A7:K8" totalsRowShown="0" dataDxfId="66" tableBorderDxfId="65" dataCellStyle="Währung 2">
  <autoFilter ref="A7:K8" xr:uid="{9242C5B3-E768-C24F-957F-7AA66CC8640D}"/>
  <tableColumns count="11">
    <tableColumn id="1" xr3:uid="{DCB9DEF8-B2C4-2F4C-974E-1FE1DA9E34C6}" name="Anzahl" dataDxfId="64"/>
    <tableColumn id="2" xr3:uid="{9AE32F58-6689-3043-9D72-7AC1946C0AC6}" name="Währung" dataDxfId="63"/>
    <tableColumn id="3" xr3:uid="{6F256B27-D553-E146-99DE-3FBE6C58A68B}" name="Erwerbsdatum" dataDxfId="62"/>
    <tableColumn id="4" xr3:uid="{CC9F138D-4C16-E34A-8777-B73805129E49}" name="Verkaufsdatum" dataDxfId="61"/>
    <tableColumn id="5" xr3:uid="{D9043D5C-51F4-FD4B-9CA8-D3AEB8B49BFA}" name="Haltefrist"/>
    <tableColumn id="6" xr3:uid="{8882967D-7A90-F641-B798-9FD1EE4707A9}" name="Kauf /Eingang bei"/>
    <tableColumn id="7" xr3:uid="{8447E59A-6D37-3B4C-BF31-07EF766BEC5E}" name="Verkauf /Ausgang bei"/>
    <tableColumn id="8" xr3:uid="{B925357B-06F3-E342-A78C-5BD50D0EDD85}" name="Typ" dataDxfId="60"/>
    <tableColumn id="9" xr3:uid="{3212EFA9-D091-AD40-A6FE-BF1D5628074D}" name="Kostenbasis in EUR" dataDxfId="59"/>
    <tableColumn id="10" xr3:uid="{CE035119-FFFB-6340-8174-82D7979272B5}" name="Erlös in EUR" dataDxfId="58"/>
    <tableColumn id="11" xr3:uid="{9FDCAA10-1C0A-6741-B21D-B357C1B2494D}" name="Gewinn in EUR" dataDxfId="5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B393D51-6D92-7842-835E-0B1C9853A4EF}" name="Table21" displayName="Table21" ref="A7:K8" totalsRowShown="0" dataDxfId="56" dataCellStyle="Währung 2">
  <tableColumns count="11">
    <tableColumn id="1" xr3:uid="{A86C7A5C-07DE-9E45-AE72-C799BFB2D05A}" name="Anzahl" dataDxfId="55" dataCellStyle="Komma 2"/>
    <tableColumn id="2" xr3:uid="{408E0170-7F46-7D4D-B34E-0BB68334CBA5}" name="Währung"/>
    <tableColumn id="3" xr3:uid="{43C72682-3461-A244-98EE-65B41D7883A1}" name="Erwerbsdatum" dataDxfId="54"/>
    <tableColumn id="4" xr3:uid="{5B0F1C35-FE15-D64A-8F86-414158E3B452}" name="Verkaufsdatum" dataDxfId="53"/>
    <tableColumn id="5" xr3:uid="{044E46F5-40D3-804E-B651-9C2C50211563}" name="Haltefrist" dataDxfId="52"/>
    <tableColumn id="6" xr3:uid="{86326475-1A50-3346-91DB-217207F1D17A}" name="Kauf /Eingang bei"/>
    <tableColumn id="7" xr3:uid="{FFD9357C-14E8-FB40-BD46-EBFBC7CE0AF9}" name="Verkauf /Ausgang bei"/>
    <tableColumn id="8" xr3:uid="{EE4E10C0-8140-FD41-9AA9-A1494DB53BC8}" name="Typ"/>
    <tableColumn id="9" xr3:uid="{430CB4F5-D12F-794F-8B15-3E1689673530}" name="Kostenbasis in EUR" dataDxfId="51" dataCellStyle="Währung 2"/>
    <tableColumn id="10" xr3:uid="{C7FF5C8C-1685-3E42-995A-A187E3C4CC47}" name="Erlös in EUR" dataDxfId="50" dataCellStyle="Währung 2"/>
    <tableColumn id="11" xr3:uid="{A4148748-429A-AA45-B26C-50E1334BC046}" name="Gewinn in EUR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4C840A4-003D-F94F-8075-49BA51AC2D9F}" name="Table18" displayName="Table18" ref="A7:H8" totalsRowShown="0">
  <autoFilter ref="A7:H8" xr:uid="{04C840A4-003D-F94F-8075-49BA51AC2D9F}"/>
  <tableColumns count="8">
    <tableColumn id="1" xr3:uid="{09E95516-0C45-364F-970D-C39F083260B5}" name="Zuflussdatum" dataDxfId="48"/>
    <tableColumn id="2" xr3:uid="{91E0D828-D6DF-F348-81D2-82432D8BC2CD}" name="Anzahl" dataDxfId="47"/>
    <tableColumn id="3" xr3:uid="{335A67B3-1C31-9642-A30A-B3926D91AC42}" name="Währung"/>
    <tableColumn id="4" xr3:uid="{E50E11DD-1D9B-034D-8854-EF998F0F6BDC}" name="Art"/>
    <tableColumn id="5" xr3:uid="{E9C243A3-51D7-E840-B7A9-8B545BD4246F}" name="Kauf /Eingang bei"/>
    <tableColumn id="6" xr3:uid="{D3DF8CF4-3E87-1142-813B-2AD826680E42}" name="Kommentar"/>
    <tableColumn id="7" xr3:uid="{D19F2619-8BC0-114D-B292-6F8AAF171DE2}" name="Wert im Zeitpunkt des Eingangs"/>
    <tableColumn id="9" xr3:uid="{F395C28E-674E-D742-8CD1-6F2842578927}" name="Typ" dataDxfId="46">
      <calculatedColumnFormula>IF(Table18[[#This Row],[Art]]="Airdrop","steuerfrei",IF(Table18[[#This Row],[Art]]="Geschenk / Trinkgeld","steuerfrei",IF(Table18[[#This Row],[Art]]="Einnahme (steuerfrei)","steuerfrei",IF(Table18[[#This Row],[Art]]="Einnahme","steuerpflichtig","steuerpflichtig"))))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29E5720-7976-A642-A7C5-9FB41675066A}" name="Table24" displayName="Table24" ref="A7:H8" insertRow="1" totalsRowShown="0" headerRowDxfId="45">
  <tableColumns count="8">
    <tableColumn id="1" xr3:uid="{FB9D5838-DD4D-6144-8961-9FDD11C32D75}" name="Zuflussdatum" dataDxfId="44"/>
    <tableColumn id="2" xr3:uid="{886BE828-860A-D94B-9C29-A3735492F1BE}" name="Anzahl" dataDxfId="43"/>
    <tableColumn id="3" xr3:uid="{8F4F091A-58D9-CF41-9512-F6439E2769BC}" name="Währung"/>
    <tableColumn id="4" xr3:uid="{4E599025-26CE-B74E-ACAE-9A072A82DB3E}" name="Art" dataDxfId="42"/>
    <tableColumn id="5" xr3:uid="{7A3D5885-BD9D-2542-B448-09A11791C5F7}" name="Ausgang bei"/>
    <tableColumn id="6" xr3:uid="{84AF7599-7DCC-2644-ADE7-7948578FFF48}" name="Kommentar" dataDxfId="41"/>
    <tableColumn id="8" xr3:uid="{10313D69-808B-8543-AFD5-C0BFA5996A38}" name="Anschaffungskosten"/>
    <tableColumn id="9" xr3:uid="{B0CBFF17-1637-4542-884C-47F1F00876F2}" name="Wert bei Schenkung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FB7839-B41D-0A43-8044-1B7B2542F129}" name="Table26" displayName="Table26" ref="A7:H8" totalsRowShown="0">
  <autoFilter ref="A7:H8" xr:uid="{9242C5B3-E768-C24F-957F-7AA66CC8640D}"/>
  <tableColumns count="8">
    <tableColumn id="1" xr3:uid="{7E4525D1-BABC-844F-AD2F-5FED394D5A99}" name="Datum der Gebühr" dataDxfId="40"/>
    <tableColumn id="2" xr3:uid="{57F8E404-B8BC-4741-870D-A71BDBDFD49A}" name="Anzahl" dataDxfId="39"/>
    <tableColumn id="3" xr3:uid="{F8C80D6C-5346-2A4C-8BCA-9D4345746F86}" name="Währung" dataDxfId="38"/>
    <tableColumn id="4" xr3:uid="{047C089A-0F60-3144-9798-68E95ED32325}" name="Typ" dataDxfId="37"/>
    <tableColumn id="5" xr3:uid="{A77D4F08-1661-F64B-98A1-5EE5A5360587}" name="Transaktion bei"/>
    <tableColumn id="6" xr3:uid="{7D084BA0-36A0-CD4D-8ACE-CCC837D63510}" name="Kostenbasis Berechnung"/>
    <tableColumn id="7" xr3:uid="{CD9848C1-BBCE-7A47-B0D2-90A55F50219B}" name="Kostenbasis in EUR"/>
    <tableColumn id="8" xr3:uid="{46DF7D51-F724-EB4A-A5D8-6E93BBA3D98B}" name="Wert bei Transaktion in EUR" dataDxfId="36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2BFDBB-D26B-C54F-B336-37CD3999D600}" name="Table242" displayName="Table242" ref="A7:H8" totalsRowShown="0" headerRowDxfId="35">
  <tableColumns count="8">
    <tableColumn id="1" xr3:uid="{24A48497-B4D1-9249-AED7-C9E48EC58E5E}" name="Verlustdatum" dataDxfId="34"/>
    <tableColumn id="2" xr3:uid="{F488A687-C958-3445-A36B-6721FF727BDE}" name="Anzahl"/>
    <tableColumn id="3" xr3:uid="{6292482A-99DA-084B-959F-7DDB990CA7D7}" name="Währung"/>
    <tableColumn id="4" xr3:uid="{9640EDD2-1228-5B4D-B46A-0E92D6F63CAC}" name="Art" dataDxfId="33"/>
    <tableColumn id="5" xr3:uid="{C22F8682-0398-1E4E-B125-500E52B20AFE}" name="Kauf /Eingang bei"/>
    <tableColumn id="6" xr3:uid="{5A2CDD86-2419-CD48-9FB4-56A8B6628BE9}" name="Kostenbasis Berechnung" dataDxfId="32"/>
    <tableColumn id="8" xr3:uid="{560FE302-8F4A-C544-A7D2-36AF37EEDE54}" name="Kostenbasis"/>
    <tableColumn id="9" xr3:uid="{75450380-87F3-294F-89E0-04BC79ECD1AE}" name="Wert bei Verlust in EUR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990728-2937-7843-B3D2-0AA960F96698}" name="Table11" displayName="Table11" ref="A7:I517" totalsRowShown="0" headerRowDxfId="31" dataDxfId="30" headerRowCellStyle="Währung 2">
  <autoFilter ref="A7:I517" xr:uid="{27990728-2937-7843-B3D2-0AA960F96698}"/>
  <tableColumns count="9">
    <tableColumn id="1" xr3:uid="{01C82F71-E550-A540-B011-098F87CC1E38}" name="Anzahl" dataDxfId="29"/>
    <tableColumn id="2" xr3:uid="{C133C70D-3426-5F41-835C-5664BD236975}" name="Währung"/>
    <tableColumn id="3" xr3:uid="{3BC46163-9411-B44D-B43A-99E07DD184DD}" name="Erwerbsdatum" dataDxfId="28"/>
    <tableColumn id="4" xr3:uid="{585E7716-9396-A14D-B209-A0B2A29275DC}" name="Kauf/Eingang bei"/>
    <tableColumn id="5" xr3:uid="{53899920-C7D5-994B-BB10-E8043AEFA496}" name="Kaufpreis in EUR" dataDxfId="27"/>
    <tableColumn id="6" xr3:uid="{C85B141F-0C1F-124F-BC85-7DB3BD092CDA}" name="Kurs zum Jahresende in EUR" dataDxfId="26"/>
    <tableColumn id="7" xr3:uid="{9A1F2CD9-1B1E-C847-8B06-6EA8CC7C3FCE}" name="Kostenbasis in EUR" dataDxfId="25"/>
    <tableColumn id="8" xr3:uid="{D87328DD-D878-7540-AF0E-F3C114602625}" name="Jahres End Wert in EUR" dataDxfId="24"/>
    <tableColumn id="9" xr3:uid="{A86C1FDA-359F-2243-9190-00CEA171B5F3}" name="Gewinn/Verlust in EUR" dataDxfId="23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D1F0EC-E0F8-3C4A-9718-C25169718E0C}" name="Table117" displayName="Table117" ref="A7:G514" totalsRowShown="0" headerRowDxfId="22" headerRowCellStyle="Währung 2">
  <autoFilter ref="A7:G514" xr:uid="{44D1F0EC-E0F8-3C4A-9718-C25169718E0C}"/>
  <tableColumns count="7">
    <tableColumn id="1" xr3:uid="{687A365D-22D7-4F44-807A-D3E0972D7CBF}" name="Anzahl" dataDxfId="0" dataCellStyle="Comma"/>
    <tableColumn id="2" xr3:uid="{2D655263-32EB-024E-8F4E-B5ECCC72346A}" name="Währung"/>
    <tableColumn id="3" xr3:uid="{6B337287-E7A8-8D4D-8EFD-2B1B8BF2761A}" name="Erwerbsdatum" dataDxfId="21"/>
    <tableColumn id="4" xr3:uid="{BD025A1B-93E9-264C-A0A7-CAB7FC21A72D}" name="Kauf/Eingang bei"/>
    <tableColumn id="5" xr3:uid="{408D3768-C70C-0E47-84E8-881511902848}" name="Kaufpreis in EUR" dataCellStyle="Currency"/>
    <tableColumn id="6" xr3:uid="{21130E5B-384D-6746-8EBA-B43FFF4F8089}" name="Kurs zum Jahresende in EUR" dataCellStyle="Currency"/>
    <tableColumn id="7" xr3:uid="{8FB2F4C8-E3E3-0447-9B10-7F64297F1446}" name="Kostenbasis in EUR" dataCellStyle="Currency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ABE5A8-9B59-6141-B714-5CFBFECAB123}" name="Table115" displayName="Table115" ref="A7:I219" totalsRowShown="0" headerRowDxfId="20" dataDxfId="19">
  <tableColumns count="9">
    <tableColumn id="1" xr3:uid="{1AA5D46D-378B-854E-8D20-8453AF28C574}" name="Anzahl" dataDxfId="18"/>
    <tableColumn id="2" xr3:uid="{D3DE88BB-F23D-A84B-A5A2-A024995C1EE5}" name="Währung"/>
    <tableColumn id="4" xr3:uid="{5E13887A-9C1C-9C49-B3B0-48FB374EB272}" name=" "/>
    <tableColumn id="3" xr3:uid="{D9CBB5E3-D649-C846-9487-FEC207E79831}" name="  "/>
    <tableColumn id="5" xr3:uid="{1F261B95-BD29-C54C-B404-474245C01F3A}" name="Kaufpreis in EUR" dataDxfId="17"/>
    <tableColumn id="6" xr3:uid="{275DB658-F8E9-7245-ADA2-AA0AF9CB1805}" name="   " dataDxfId="16"/>
    <tableColumn id="7" xr3:uid="{1181FEAC-E969-784F-82B8-F6C5089D4DAC}" name="Kostenbasis in EUR" dataDxfId="15"/>
    <tableColumn id="8" xr3:uid="{30A30B70-D3A6-A44C-A259-F51159F19CAC}" name="Jahres End Wert in EUR" dataDxfId="14"/>
    <tableColumn id="9" xr3:uid="{FB0E74F7-C103-4247-9AAB-626B1E86CBBC}" name="Gewinn/Verlust in EUR" dataDxfId="1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479DC79-2A34-C746-AFA7-8FDE44AA3F4D}" name="Table10" displayName="Table10" ref="A7:K8" insertRow="1" totalsRowShown="0" dataDxfId="12">
  <tableColumns count="11">
    <tableColumn id="1" xr3:uid="{74C73E27-06CD-A74F-854D-EA4D4D64CB80}" name="Anzahl" dataDxfId="11"/>
    <tableColumn id="2" xr3:uid="{6D77ED67-583D-C54A-87AE-B85F7739AD5D}" name="Währung"/>
    <tableColumn id="3" xr3:uid="{F0BFA531-4D7C-A348-8FAC-DFDB3BD61948}" name="Erwerbsdatum" dataDxfId="10"/>
    <tableColumn id="4" xr3:uid="{36378272-5AB2-2D4D-8235-5649C2C5C2BD}" name="Verkaufsdatum" dataDxfId="9"/>
    <tableColumn id="11" xr3:uid="{54253F92-1CB2-574D-89A3-29CFBF000682}" name=" " dataDxfId="8"/>
    <tableColumn id="5" xr3:uid="{8DD24DCE-B04B-3D42-8CD3-437834C7F425}" name="Kauf /Eingang bei"/>
    <tableColumn id="6" xr3:uid="{04592670-FE8A-2042-9BCE-2D97A50A205B}" name="Verkauf /Ausgang bei"/>
    <tableColumn id="7" xr3:uid="{A6ED92A5-BBB7-574F-8E2D-34B2ABBE923B}" name="Typ" dataDxfId="7"/>
    <tableColumn id="8" xr3:uid="{12ADE761-96E0-BD44-82FB-FC2A69937771}" name="Kostenbasis in EUR" dataDxfId="6"/>
    <tableColumn id="9" xr3:uid="{CC8869CD-6B62-3B4A-9D99-291538EF8905}" name="Erlös in EUR" dataDxfId="5"/>
    <tableColumn id="10" xr3:uid="{D5BD0D87-A8DC-E043-ADCA-8C00E6C4D690}" name="Gewinn in EUR" dataDxfId="4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37F332-DFFE-1B4E-8B00-564E973F2726}" name="Tabelle3" displayName="Tabelle3" ref="A7:K8" totalsRowShown="0" headerRowDxfId="3">
  <autoFilter ref="A7:K8" xr:uid="{A437F332-DFFE-1B4E-8B00-564E973F2726}"/>
  <sortState xmlns:xlrd2="http://schemas.microsoft.com/office/spreadsheetml/2017/richdata2" ref="A8:K8">
    <sortCondition descending="1" ref="K7:K8"/>
  </sortState>
  <tableColumns count="11">
    <tableColumn id="1" xr3:uid="{101BBB1B-24DD-7E4F-9E0E-74A2EEDABA7D}" name="Typ"/>
    <tableColumn id="2" xr3:uid="{6472F677-0B14-9C4D-A84C-77539D805688}" name="Kauf" dataDxfId="2"/>
    <tableColumn id="3" xr3:uid="{7240C78C-A777-7844-B521-17694D41B05B}" name="Währung"/>
    <tableColumn id="4" xr3:uid="{4355932F-A184-2E4E-8CBF-4D6CBED39BB6}" name="  Wert in EUR  "/>
    <tableColumn id="5" xr3:uid="{F0F0FFF8-37F2-8E48-8B33-12C30FB8BC5F}" name="Verkauf" dataDxfId="1"/>
    <tableColumn id="6" xr3:uid="{DBA57ECC-1A26-FB46-95D1-57B68CBBFAA9}" name="Währung "/>
    <tableColumn id="7" xr3:uid="{31AD4778-0012-0A4B-89AF-58E9B42F0238}" name="  Wert in EUR "/>
    <tableColumn id="8" xr3:uid="{CC4FEA04-29C9-4148-93A2-3A1C34873B88}" name="  Börse  "/>
    <tableColumn id="9" xr3:uid="{5284BA27-9078-074C-82D6-9A14EFA6EAC6}" name="  Gruppe  "/>
    <tableColumn id="10" xr3:uid="{114CC361-AC47-5945-A6A4-21BBA055DDB1}" name="Kommentar"/>
    <tableColumn id="11" xr3:uid="{EC1EAA96-4A64-144A-9834-379BB204A78F}" name="  Datum  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1-04-23T08:22:12.38" personId="{707EF00E-11DC-8A4D-95E9-46FA2D5A3D40}" id="{535C5C26-40BA-5B44-8491-7312ED3A5B3B}">
    <text>Download des Kapitalertragsberichts per Excel. Zusammenfassung pro Jahr hier rein kopieren.</text>
  </threadedComment>
  <threadedComment ref="L1" dT="2021-04-23T08:23:35.32" personId="{707EF00E-11DC-8A4D-95E9-46FA2D5A3D40}" id="{1C9C4CE0-5213-A449-BB8F-43182B882C1A}" parentId="{535C5C26-40BA-5B44-8491-7312ED3A5B3B}">
    <text>Zahlen vergleichen mit unseren eigenen Berechnungen aus Blatt „Kapitalertragsbericht“</text>
  </threadedComment>
  <threadedComment ref="L1" dT="2021-04-29T11:51:54.75" personId="{707EF00E-11DC-8A4D-95E9-46FA2D5A3D40}" id="{9B04A485-868D-AE4C-AD08-F94F6C73D1E8}" parentId="{535C5C26-40BA-5B44-8491-7312ED3A5B3B}">
    <text>Die Zahl Short letzte Spalte wird dann als Trading Gewinn in das Gutachten übernommen, sowie die Werte für Margin Trading.</text>
  </threadedComment>
  <threadedComment ref="L1" dT="2021-09-27T12:38:27.84" personId="{707EF00E-11DC-8A4D-95E9-46FA2D5A3D40}" id="{1CDF5B24-CFBB-B04C-B21C-BC6E2BD6E43A}" parentId="{535C5C26-40BA-5B44-8491-7312ED3A5B3B}">
    <text>Muss nicht formatiert oder aufgeräumt werden. Diese Seite geht nicht an den Kunden.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1-04-23T08:47:08.63" personId="{707EF00E-11DC-8A4D-95E9-46FA2D5A3D40}" id="{098C1D89-C8D3-7842-8E33-F31632139186}">
    <text>Aus Cointracking, Kapitalertragsbericht, gefiltert nach „Warnungen anzeigen“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1-04-23T08:26:30.71" personId="{707EF00E-11DC-8A4D-95E9-46FA2D5A3D40}" id="{E5ACAD73-572E-4344-923C-041525153F4B}">
    <text>Export als Excel, andernfalls ist die Formatierung falsch.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1" dT="2021-04-23T08:26:30.71" personId="{707EF00E-11DC-8A4D-95E9-46FA2D5A3D40}" id="{042605B4-4D82-8445-BE9A-38700071CE4A}">
    <text>Export als Excel, andernfalls ist die Formatierung falsch.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K1" dT="2021-04-23T08:31:56.01" personId="{707EF00E-11DC-8A4D-95E9-46FA2D5A3D40}" id="{9F0EBFA7-A492-624E-8488-91FA877DCCD3}">
    <text>Teil des Kapitalertragsberichtes. Von dort Löschen und hier gesondert aufführen. 
Spalte mit Haltefrist löschen. Summen berechnen. Fußzeile aus Kopierelemente verwenden.</text>
  </threadedComment>
  <threadedComment ref="K1" dT="2021-04-29T11:55:51.93" personId="{707EF00E-11DC-8A4D-95E9-46FA2D5A3D40}" id="{A7220B8F-AB3A-5C45-B22D-57E1A4E3E1C3}" parentId="{9F0EBFA7-A492-624E-8488-91FA877DCCD3}">
    <text>Alle Einträge die in Cointracking als „margin … „ aufgeführt sind müssen aus dem Kapitalertragsbericht gelöscht werden und hier gesondert aufgeführt werden.</text>
  </threadedComment>
  <threadedComment ref="K1" dT="2021-04-29T11:56:37.99" personId="{707EF00E-11DC-8A4D-95E9-46FA2D5A3D40}" id="{093D102F-22AF-7E47-A10E-94F990540AFA}" parentId="{9F0EBFA7-A492-624E-8488-91FA877DCCD3}">
    <text>Summen aus Kopierelemente verwenden.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4EBFC-7DDC-C241-9D1A-00F6DB17E58D}">
  <sheetPr codeName="Tabelle1"/>
  <dimension ref="A1:AH39"/>
  <sheetViews>
    <sheetView topLeftCell="A2" zoomScale="140" zoomScaleNormal="140" workbookViewId="0">
      <selection activeCell="A21" sqref="A21"/>
    </sheetView>
  </sheetViews>
  <sheetFormatPr baseColWidth="10" defaultRowHeight="15" x14ac:dyDescent="0.2"/>
  <cols>
    <col min="1" max="1" width="24.33203125" customWidth="1"/>
    <col min="2" max="2" width="39.1640625" customWidth="1"/>
    <col min="3" max="3" width="13.1640625" customWidth="1"/>
    <col min="21" max="21" width="14.1640625" customWidth="1"/>
  </cols>
  <sheetData>
    <row r="1" spans="1:34" x14ac:dyDescent="0.2"/>
    <row r="2" spans="1:34" s="4" customFormat="1" x14ac:dyDescent="0.2"/>
    <row r="3" spans="1:34" s="4" customFormat="1" x14ac:dyDescent="0.2"/>
    <row r="4" spans="1:34" s="4" customFormat="1" ht="29" x14ac:dyDescent="0.35">
      <c r="A4" s="3">
        <v>2021</v>
      </c>
      <c r="D4" s="1"/>
      <c r="I4" s="1"/>
      <c r="N4" s="1"/>
      <c r="S4" s="1"/>
      <c r="X4" s="1"/>
      <c r="AC4" s="1"/>
      <c r="AH4" s="1"/>
    </row>
    <row r="5" spans="1:34" s="4" customFormat="1" x14ac:dyDescent="0.2"/>
    <row r="6" spans="1:34" s="4" customFormat="1" ht="16" x14ac:dyDescent="0.2">
      <c r="A6" s="43"/>
      <c r="B6" s="13"/>
      <c r="C6" s="13"/>
      <c r="D6" s="13"/>
    </row>
    <row r="7" spans="1:34" s="4" customFormat="1" ht="16" x14ac:dyDescent="0.2">
      <c r="A7" s="13" t="s">
        <v>52</v>
      </c>
      <c r="B7" s="13"/>
      <c r="C7" s="13"/>
      <c r="D7" s="13"/>
    </row>
    <row r="8" spans="1:34" s="4" customFormat="1" ht="16" x14ac:dyDescent="0.2">
      <c r="A8" s="43"/>
      <c r="B8" s="13"/>
      <c r="C8" s="13"/>
      <c r="D8" s="13"/>
      <c r="S8" s="1"/>
      <c r="AC8" s="1"/>
      <c r="AH8" s="1"/>
    </row>
    <row r="9" spans="1:34" ht="17" thickBot="1" x14ac:dyDescent="0.25">
      <c r="B9" s="13"/>
      <c r="C9" s="13"/>
      <c r="D9" s="13"/>
      <c r="Z9" s="1"/>
      <c r="AA9" s="1"/>
      <c r="AB9" s="1"/>
      <c r="AC9" s="1"/>
    </row>
    <row r="10" spans="1:34" ht="46" thickBot="1" x14ac:dyDescent="0.25">
      <c r="A10" s="50" t="s">
        <v>53</v>
      </c>
      <c r="B10" s="51" t="s">
        <v>54</v>
      </c>
      <c r="C10" s="52" t="s">
        <v>55</v>
      </c>
      <c r="D10" s="13"/>
      <c r="Z10" s="1"/>
      <c r="AA10" s="1"/>
      <c r="AB10" s="1"/>
      <c r="AC10" s="1"/>
    </row>
    <row r="11" spans="1:34" ht="51" x14ac:dyDescent="0.2">
      <c r="A11" s="134">
        <f>A4</f>
        <v>2021</v>
      </c>
      <c r="B11" s="53" t="s">
        <v>56</v>
      </c>
      <c r="C11" s="136">
        <f>'Kapitalertragsbericht - Verkäuf'!K14</f>
        <v>0</v>
      </c>
      <c r="D11" s="13"/>
      <c r="F11" s="4" t="s">
        <v>58</v>
      </c>
    </row>
    <row r="12" spans="1:34" ht="17" thickBot="1" x14ac:dyDescent="0.25">
      <c r="A12" s="135"/>
      <c r="B12" s="54" t="str">
        <f>"Einzutragen in Zeile "&amp;IF(A4=2020,42,41)&amp;" und "&amp;IF(A4=2020,47,46)&amp;", Anlage SO "&amp;(A4)&amp;""</f>
        <v>Einzutragen in Zeile 41 und 46, Anlage SO 2021</v>
      </c>
      <c r="C12" s="137"/>
      <c r="D12" s="13"/>
    </row>
    <row r="13" spans="1:34" ht="17" x14ac:dyDescent="0.2">
      <c r="A13" s="132">
        <f>A4</f>
        <v>2021</v>
      </c>
      <c r="B13" s="53" t="s">
        <v>60</v>
      </c>
      <c r="C13" s="133">
        <f>Einkommensbericht!G14</f>
        <v>0</v>
      </c>
      <c r="E13" s="4"/>
      <c r="F13" s="4" t="s">
        <v>70</v>
      </c>
    </row>
    <row r="14" spans="1:34" ht="16" thickBot="1" x14ac:dyDescent="0.25">
      <c r="A14" s="129"/>
      <c r="B14" s="55" t="str">
        <f>"Einzutragen in Zeile "&amp;IF(OR(A4=2020,A4=2019),10,8)&amp;" und 12, Anlage SO "&amp;(A4)&amp;""</f>
        <v>Einzutragen in Zeile 8 und 12, Anlage SO 2021</v>
      </c>
      <c r="C14" s="131"/>
    </row>
    <row r="16" spans="1:34" ht="16" thickBot="1" x14ac:dyDescent="0.25"/>
    <row r="17" spans="1:7" ht="34" x14ac:dyDescent="0.2">
      <c r="A17" s="128">
        <f>A4</f>
        <v>2021</v>
      </c>
      <c r="B17" s="56" t="s">
        <v>57</v>
      </c>
      <c r="C17" s="130">
        <f>Termingeschäfte!K1</f>
        <v>0</v>
      </c>
      <c r="D17" s="13"/>
      <c r="F17" s="4" t="s">
        <v>59</v>
      </c>
      <c r="G17" s="4" t="s">
        <v>64</v>
      </c>
    </row>
    <row r="18" spans="1:7" ht="27" thickBot="1" x14ac:dyDescent="0.25">
      <c r="A18" s="129"/>
      <c r="B18" s="55" t="str">
        <f>"Einzutragen in Zeile "&amp;IF(A4=2020,19,15)&amp;", Anlage KAP "&amp;(A4)&amp;" (ausländische Kapitalerträge)"</f>
        <v>Einzutragen in Zeile 15, Anlage KAP 2021 (ausländische Kapitalerträge)</v>
      </c>
      <c r="C18" s="131"/>
      <c r="D18" s="15"/>
    </row>
    <row r="19" spans="1:7" ht="34" x14ac:dyDescent="0.2">
      <c r="A19" s="128">
        <f>A17</f>
        <v>2021</v>
      </c>
      <c r="B19" s="56" t="s">
        <v>85</v>
      </c>
      <c r="C19" s="130">
        <f>Termingeschäfte!K11</f>
        <v>0</v>
      </c>
    </row>
    <row r="20" spans="1:7" ht="16" thickBot="1" x14ac:dyDescent="0.25">
      <c r="A20" s="129"/>
      <c r="B20" s="55" t="s">
        <v>86</v>
      </c>
      <c r="C20" s="131"/>
    </row>
    <row r="21" spans="1:7" ht="16" x14ac:dyDescent="0.2">
      <c r="A21" s="49"/>
      <c r="B21" s="49"/>
      <c r="C21" s="49"/>
      <c r="D21" s="15"/>
    </row>
    <row r="22" spans="1:7" ht="16" x14ac:dyDescent="0.2">
      <c r="A22" s="49"/>
      <c r="B22" s="49"/>
      <c r="C22" s="49"/>
      <c r="D22" s="15"/>
    </row>
    <row r="23" spans="1:7" ht="16" x14ac:dyDescent="0.2">
      <c r="A23" s="49"/>
      <c r="B23" s="49"/>
      <c r="C23" s="49"/>
      <c r="D23" s="15"/>
    </row>
    <row r="24" spans="1:7" ht="16" x14ac:dyDescent="0.2">
      <c r="A24" s="49"/>
      <c r="B24" s="49"/>
      <c r="C24" s="49"/>
      <c r="D24" s="15"/>
    </row>
    <row r="25" spans="1:7" x14ac:dyDescent="0.2">
      <c r="A25" s="49"/>
      <c r="B25" s="49"/>
      <c r="C25" s="49"/>
    </row>
    <row r="26" spans="1:7" x14ac:dyDescent="0.2">
      <c r="A26" s="49"/>
      <c r="B26" s="49"/>
      <c r="C26" s="49"/>
    </row>
    <row r="27" spans="1:7" x14ac:dyDescent="0.2">
      <c r="A27" s="49"/>
      <c r="B27" s="49"/>
      <c r="C27" s="49"/>
    </row>
    <row r="28" spans="1:7" x14ac:dyDescent="0.2">
      <c r="A28" s="49"/>
      <c r="B28" s="49"/>
      <c r="C28" s="49"/>
    </row>
    <row r="29" spans="1:7" x14ac:dyDescent="0.2">
      <c r="A29" s="49"/>
      <c r="B29" s="49"/>
      <c r="C29" s="49"/>
      <c r="F29" s="4"/>
    </row>
    <row r="30" spans="1:7" x14ac:dyDescent="0.2">
      <c r="A30" s="49"/>
      <c r="B30" s="49"/>
      <c r="C30" s="49"/>
    </row>
    <row r="31" spans="1:7" x14ac:dyDescent="0.2">
      <c r="A31" s="49"/>
      <c r="B31" s="49"/>
      <c r="C31" s="49"/>
    </row>
    <row r="32" spans="1:7" x14ac:dyDescent="0.2">
      <c r="A32" s="49"/>
      <c r="B32" s="49"/>
      <c r="C32" s="49"/>
    </row>
    <row r="33" spans="1:3" x14ac:dyDescent="0.2">
      <c r="A33" s="49"/>
      <c r="B33" s="49"/>
      <c r="C33" s="49"/>
    </row>
    <row r="34" spans="1:3" x14ac:dyDescent="0.2">
      <c r="A34" s="49"/>
      <c r="B34" s="49"/>
      <c r="C34" s="49"/>
    </row>
    <row r="35" spans="1:3" x14ac:dyDescent="0.2">
      <c r="A35" s="49"/>
      <c r="B35" s="49"/>
      <c r="C35" s="49"/>
    </row>
    <row r="36" spans="1:3" x14ac:dyDescent="0.2">
      <c r="A36" s="49"/>
      <c r="B36" s="49"/>
      <c r="C36" s="49"/>
    </row>
    <row r="37" spans="1:3" x14ac:dyDescent="0.2">
      <c r="A37" s="49"/>
      <c r="B37" s="49"/>
      <c r="C37" s="49"/>
    </row>
    <row r="38" spans="1:3" x14ac:dyDescent="0.2">
      <c r="A38" s="49"/>
      <c r="B38" s="49"/>
      <c r="C38" s="49"/>
    </row>
    <row r="39" spans="1:3" x14ac:dyDescent="0.2">
      <c r="A39" s="49"/>
      <c r="B39" s="49"/>
      <c r="C39" s="49"/>
    </row>
  </sheetData>
  <mergeCells count="8">
    <mergeCell ref="A19:A20"/>
    <mergeCell ref="C19:C20"/>
    <mergeCell ref="A13:A14"/>
    <mergeCell ref="C13:C14"/>
    <mergeCell ref="A11:A12"/>
    <mergeCell ref="C11:C12"/>
    <mergeCell ref="A17:A18"/>
    <mergeCell ref="C17:C18"/>
  </mergeCells>
  <pageMargins left="0.7" right="0.7" top="0.75" bottom="0.75" header="0.3" footer="0.3"/>
  <pageSetup paperSize="9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18C1F-695E-2147-96F4-3841E5BEB065}">
  <sheetPr codeName="Tabelle12"/>
  <dimension ref="A1:D5"/>
  <sheetViews>
    <sheetView workbookViewId="0">
      <selection activeCell="H27" sqref="H27"/>
    </sheetView>
  </sheetViews>
  <sheetFormatPr baseColWidth="10" defaultRowHeight="15" x14ac:dyDescent="0.2"/>
  <cols>
    <col min="1" max="1" width="19.6640625" bestFit="1" customWidth="1"/>
  </cols>
  <sheetData>
    <row r="1" spans="1:4" ht="16" x14ac:dyDescent="0.2">
      <c r="D1" s="60" t="s">
        <v>68</v>
      </c>
    </row>
    <row r="3" spans="1:4" x14ac:dyDescent="0.2">
      <c r="A3" s="57" t="s">
        <v>65</v>
      </c>
    </row>
    <row r="4" spans="1:4" x14ac:dyDescent="0.2">
      <c r="A4" s="58" t="s">
        <v>66</v>
      </c>
    </row>
    <row r="5" spans="1:4" x14ac:dyDescent="0.2">
      <c r="A5" s="58" t="s">
        <v>67</v>
      </c>
    </row>
  </sheetData>
  <pageMargins left="0.7" right="0.7" top="0.78740157499999996" bottom="0.78740157499999996" header="0.3" footer="0.3"/>
  <pageSetup paperSize="9"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DF93-5EEF-BC4A-8FA2-730E68DF4796}">
  <sheetPr codeName="Tabelle2">
    <pageSetUpPr fitToPage="1"/>
  </sheetPr>
  <dimension ref="A1:P22"/>
  <sheetViews>
    <sheetView view="pageBreakPreview" zoomScaleNormal="79" zoomScaleSheetLayoutView="100" workbookViewId="0">
      <selection activeCell="D38" sqref="D38"/>
    </sheetView>
  </sheetViews>
  <sheetFormatPr baseColWidth="10" defaultRowHeight="15" x14ac:dyDescent="0.2"/>
  <cols>
    <col min="1" max="1" width="25" customWidth="1"/>
    <col min="2" max="2" width="10.6640625" style="91" customWidth="1"/>
    <col min="3" max="3" width="15.33203125" style="96" customWidth="1"/>
    <col min="4" max="4" width="15.5" customWidth="1"/>
    <col min="6" max="7" width="20.33203125" customWidth="1"/>
    <col min="8" max="8" width="15.6640625" customWidth="1"/>
    <col min="9" max="9" width="16.5" style="97" bestFit="1" customWidth="1"/>
    <col min="10" max="10" width="11.33203125" style="97" bestFit="1" customWidth="1"/>
    <col min="11" max="11" width="14.6640625" style="98" customWidth="1"/>
    <col min="12" max="12" width="1.6640625" style="98" customWidth="1"/>
  </cols>
  <sheetData>
    <row r="1" spans="1:16" s="3" customFormat="1" ht="29" x14ac:dyDescent="0.35">
      <c r="A1" s="3" t="s">
        <v>69</v>
      </c>
      <c r="B1" s="90"/>
      <c r="C1" s="93"/>
      <c r="I1" s="94"/>
      <c r="J1" s="94"/>
      <c r="K1" s="95"/>
      <c r="L1" s="95"/>
      <c r="M1" s="119" t="s">
        <v>97</v>
      </c>
    </row>
    <row r="2" spans="1:16" ht="19" x14ac:dyDescent="0.25">
      <c r="A2" s="8" t="s">
        <v>88</v>
      </c>
      <c r="K2" s="95"/>
      <c r="L2" s="95"/>
      <c r="M2" s="120" t="s">
        <v>101</v>
      </c>
      <c r="O2" s="2"/>
      <c r="P2" s="2"/>
    </row>
    <row r="3" spans="1:16" ht="19" x14ac:dyDescent="0.25">
      <c r="A3" s="8"/>
      <c r="K3" s="95"/>
      <c r="L3" s="95"/>
      <c r="M3" s="120" t="s">
        <v>116</v>
      </c>
      <c r="O3" s="2"/>
      <c r="P3" s="2"/>
    </row>
    <row r="4" spans="1:16" ht="19" x14ac:dyDescent="0.25">
      <c r="K4" s="95"/>
      <c r="L4" s="95"/>
      <c r="M4" s="120" t="s">
        <v>99</v>
      </c>
    </row>
    <row r="5" spans="1:16" ht="29" x14ac:dyDescent="0.35">
      <c r="A5" s="3">
        <f>Zusammenfassung!A4</f>
        <v>2021</v>
      </c>
      <c r="H5" s="4"/>
      <c r="K5" s="95"/>
      <c r="L5" s="95"/>
      <c r="M5" s="120" t="s">
        <v>102</v>
      </c>
    </row>
    <row r="6" spans="1:16" ht="19" x14ac:dyDescent="0.25">
      <c r="M6" s="120" t="s">
        <v>100</v>
      </c>
      <c r="N6" s="59"/>
    </row>
    <row r="7" spans="1:16" ht="16" x14ac:dyDescent="0.2">
      <c r="A7" s="114" t="s">
        <v>3</v>
      </c>
      <c r="B7" s="91" t="s">
        <v>4</v>
      </c>
      <c r="C7" s="99" t="s">
        <v>5</v>
      </c>
      <c r="D7" t="s">
        <v>10</v>
      </c>
      <c r="E7" t="s">
        <v>12</v>
      </c>
      <c r="F7" t="s">
        <v>13</v>
      </c>
      <c r="G7" t="s">
        <v>14</v>
      </c>
      <c r="H7" t="s">
        <v>0</v>
      </c>
      <c r="I7" s="19" t="s">
        <v>7</v>
      </c>
      <c r="J7" s="19" t="s">
        <v>11</v>
      </c>
      <c r="K7" s="20" t="s">
        <v>15</v>
      </c>
      <c r="L7" s="20"/>
      <c r="N7" s="59"/>
    </row>
    <row r="8" spans="1:16" x14ac:dyDescent="0.2">
      <c r="A8" s="113"/>
      <c r="B8"/>
      <c r="C8" s="5"/>
      <c r="D8" s="5"/>
      <c r="I8" s="18"/>
      <c r="J8" s="18"/>
      <c r="K8" s="18"/>
      <c r="L8" s="18"/>
    </row>
    <row r="9" spans="1:16" ht="16" x14ac:dyDescent="0.2">
      <c r="A9" s="104" t="s">
        <v>71</v>
      </c>
      <c r="B9" s="105"/>
      <c r="C9" s="106"/>
      <c r="D9" s="107"/>
      <c r="E9" s="105"/>
      <c r="F9" s="105"/>
      <c r="G9" s="105"/>
      <c r="H9" s="108"/>
      <c r="I9" s="109">
        <f>SUBTOTAL(109,Table2[Kostenbasis in EUR])</f>
        <v>0</v>
      </c>
      <c r="J9" s="109">
        <f>SUBTOTAL(109,Table2[Erlös in EUR])</f>
        <v>0</v>
      </c>
      <c r="K9" s="109">
        <f>SUBTOTAL(109,Table2[Gewinn in EUR])</f>
        <v>0</v>
      </c>
      <c r="L9" s="65"/>
    </row>
    <row r="10" spans="1:16" ht="16" x14ac:dyDescent="0.2">
      <c r="A10" s="45" t="s">
        <v>73</v>
      </c>
      <c r="B10"/>
      <c r="C10" s="99"/>
      <c r="D10" s="75"/>
      <c r="H10" s="13"/>
      <c r="I10" s="65">
        <f>I9-I11</f>
        <v>0</v>
      </c>
      <c r="J10" s="65">
        <f>J9-J11</f>
        <v>0</v>
      </c>
      <c r="K10" s="65">
        <f>K9-K11</f>
        <v>0</v>
      </c>
      <c r="L10" s="65"/>
    </row>
    <row r="11" spans="1:16" ht="16" x14ac:dyDescent="0.2">
      <c r="A11" s="45" t="s">
        <v>72</v>
      </c>
      <c r="B11"/>
      <c r="C11" s="99"/>
      <c r="D11" s="75"/>
      <c r="H11" s="13"/>
      <c r="I11" s="65">
        <f>SUMIF(Table2[Haltefrist],"erfüllt",Table2[Kostenbasis in EUR])</f>
        <v>0</v>
      </c>
      <c r="J11" s="65">
        <f>SUMIF(Table2[Haltefrist],"erfüllt",Table2[Erlös in EUR])</f>
        <v>0</v>
      </c>
      <c r="K11" s="65">
        <f>SUMIF(Table2[Haltefrist],"erfüllt",Table2[Gewinn in EUR])</f>
        <v>0</v>
      </c>
      <c r="L11" s="65"/>
    </row>
    <row r="12" spans="1:16" ht="16" x14ac:dyDescent="0.2">
      <c r="A12" s="45" t="s">
        <v>74</v>
      </c>
      <c r="I12" s="20"/>
      <c r="J12" s="20"/>
      <c r="K12" s="65">
        <f>Gebühren!H9</f>
        <v>0</v>
      </c>
      <c r="L12" s="65"/>
    </row>
    <row r="13" spans="1:16" ht="14" customHeight="1" x14ac:dyDescent="0.2">
      <c r="I13" s="19"/>
      <c r="J13" s="19"/>
      <c r="K13" s="19"/>
      <c r="L13" s="19"/>
    </row>
    <row r="14" spans="1:16" ht="16" thickBot="1" x14ac:dyDescent="0.25">
      <c r="A14" s="61" t="s">
        <v>75</v>
      </c>
      <c r="B14" s="92"/>
      <c r="C14" s="103"/>
      <c r="D14" s="64"/>
      <c r="E14" s="64"/>
      <c r="F14" s="64"/>
      <c r="G14" s="64"/>
      <c r="H14" s="64"/>
      <c r="I14" s="66"/>
      <c r="J14" s="66"/>
      <c r="K14" s="66">
        <f>K10-K12</f>
        <v>0</v>
      </c>
      <c r="L14" s="121"/>
    </row>
    <row r="15" spans="1:16" ht="16" thickTop="1" x14ac:dyDescent="0.2">
      <c r="I15" s="19"/>
      <c r="J15" s="19"/>
      <c r="K15" s="19"/>
      <c r="L15" s="19"/>
    </row>
    <row r="21" spans="13:13" x14ac:dyDescent="0.2">
      <c r="M21" s="122"/>
    </row>
    <row r="22" spans="13:13" x14ac:dyDescent="0.2">
      <c r="M22" s="123"/>
    </row>
  </sheetData>
  <pageMargins left="0.7" right="0.7" top="0.75" bottom="0.75" header="0.3" footer="0.3"/>
  <pageSetup paperSize="9" scale="46" fitToHeight="10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4459-4566-D047-A6A7-AA923CBB47A7}">
  <sheetPr codeName="Tabelle3">
    <pageSetUpPr fitToPage="1"/>
  </sheetPr>
  <dimension ref="A1:W48"/>
  <sheetViews>
    <sheetView view="pageBreakPreview" zoomScaleNormal="100" zoomScaleSheetLayoutView="100" workbookViewId="0">
      <selection activeCell="M11" sqref="M11"/>
    </sheetView>
  </sheetViews>
  <sheetFormatPr baseColWidth="10" defaultRowHeight="15" x14ac:dyDescent="0.2"/>
  <cols>
    <col min="1" max="1" width="15.83203125" customWidth="1"/>
    <col min="2" max="2" width="8.33203125" customWidth="1"/>
    <col min="3" max="3" width="12.5" customWidth="1"/>
    <col min="4" max="4" width="13.1640625" customWidth="1"/>
    <col min="5" max="5" width="9.33203125" customWidth="1"/>
    <col min="6" max="6" width="16.33203125" customWidth="1"/>
    <col min="7" max="7" width="19" customWidth="1"/>
    <col min="8" max="8" width="15.83203125" customWidth="1"/>
    <col min="9" max="9" width="17.5" style="110" customWidth="1"/>
    <col min="10" max="10" width="11.33203125" style="110" bestFit="1" customWidth="1"/>
    <col min="11" max="11" width="13.33203125" style="110" bestFit="1" customWidth="1"/>
    <col min="12" max="12" width="2.33203125" customWidth="1"/>
    <col min="23" max="23" width="14.33203125" customWidth="1"/>
  </cols>
  <sheetData>
    <row r="1" spans="1:13" ht="29" x14ac:dyDescent="0.35">
      <c r="A1" s="3" t="s">
        <v>78</v>
      </c>
      <c r="J1" s="17"/>
      <c r="M1" s="119" t="s">
        <v>97</v>
      </c>
    </row>
    <row r="2" spans="1:13" ht="19" x14ac:dyDescent="0.25">
      <c r="A2" s="8" t="s">
        <v>50</v>
      </c>
      <c r="M2" s="120" t="s">
        <v>103</v>
      </c>
    </row>
    <row r="3" spans="1:13" ht="19" x14ac:dyDescent="0.25">
      <c r="A3" t="s">
        <v>51</v>
      </c>
      <c r="M3" s="120" t="s">
        <v>104</v>
      </c>
    </row>
    <row r="4" spans="1:13" ht="19" x14ac:dyDescent="0.25">
      <c r="I4" s="100"/>
      <c r="J4" s="100"/>
      <c r="K4" s="101"/>
      <c r="M4" s="120" t="s">
        <v>119</v>
      </c>
    </row>
    <row r="5" spans="1:13" ht="29" x14ac:dyDescent="0.35">
      <c r="A5" s="3">
        <f>Zusammenfassung!A4</f>
        <v>2021</v>
      </c>
      <c r="M5" s="120" t="s">
        <v>120</v>
      </c>
    </row>
    <row r="6" spans="1:13" ht="19" x14ac:dyDescent="0.25">
      <c r="M6" s="120"/>
    </row>
    <row r="7" spans="1:13" x14ac:dyDescent="0.2">
      <c r="A7" s="114" t="s">
        <v>3</v>
      </c>
      <c r="B7" s="91" t="s">
        <v>4</v>
      </c>
      <c r="C7" s="99" t="s">
        <v>5</v>
      </c>
      <c r="D7" t="s">
        <v>10</v>
      </c>
      <c r="E7" t="s">
        <v>12</v>
      </c>
      <c r="F7" t="s">
        <v>13</v>
      </c>
      <c r="G7" t="s">
        <v>14</v>
      </c>
      <c r="H7" t="s">
        <v>0</v>
      </c>
      <c r="I7" s="19" t="s">
        <v>7</v>
      </c>
      <c r="J7" s="19" t="s">
        <v>11</v>
      </c>
      <c r="K7" s="20" t="s">
        <v>15</v>
      </c>
    </row>
    <row r="8" spans="1:13" x14ac:dyDescent="0.2">
      <c r="A8" s="89"/>
      <c r="C8" s="5"/>
      <c r="D8" s="5"/>
      <c r="I8" s="102"/>
      <c r="J8" s="102"/>
      <c r="K8" s="18"/>
    </row>
    <row r="9" spans="1:13" x14ac:dyDescent="0.2">
      <c r="A9" s="4"/>
      <c r="B9" s="4"/>
      <c r="C9" s="4"/>
      <c r="D9" s="4"/>
      <c r="E9" s="4"/>
      <c r="F9" s="4"/>
      <c r="G9" s="4"/>
      <c r="H9" s="4"/>
      <c r="I9" s="111"/>
      <c r="J9" s="111"/>
      <c r="K9" s="111"/>
    </row>
    <row r="10" spans="1:13" x14ac:dyDescent="0.2">
      <c r="A10" s="4"/>
      <c r="B10" s="4"/>
      <c r="C10" s="4"/>
      <c r="D10" s="4"/>
      <c r="E10" s="4"/>
      <c r="F10" s="4"/>
      <c r="G10" s="4"/>
      <c r="H10" s="4"/>
      <c r="I10" s="111"/>
      <c r="J10" s="111"/>
      <c r="K10" s="111"/>
    </row>
    <row r="11" spans="1:13" x14ac:dyDescent="0.2">
      <c r="A11" s="4"/>
      <c r="B11" s="4"/>
      <c r="C11" s="4"/>
      <c r="D11" s="4"/>
      <c r="E11" s="4"/>
      <c r="F11" s="4"/>
      <c r="G11" s="4"/>
      <c r="H11" s="4"/>
      <c r="I11" s="111"/>
      <c r="J11" s="111"/>
      <c r="K11" s="111"/>
    </row>
    <row r="12" spans="1:13" x14ac:dyDescent="0.2">
      <c r="A12" s="4"/>
      <c r="B12" s="4"/>
      <c r="C12" s="4"/>
      <c r="D12" s="4"/>
      <c r="E12" s="4"/>
      <c r="F12" s="4"/>
      <c r="G12" s="4"/>
      <c r="H12" s="4"/>
      <c r="I12" s="111"/>
      <c r="J12" s="111"/>
      <c r="K12" s="111"/>
    </row>
    <row r="13" spans="1:13" x14ac:dyDescent="0.2">
      <c r="A13" s="4"/>
      <c r="B13" s="4"/>
      <c r="C13" s="4"/>
      <c r="D13" s="4"/>
      <c r="E13" s="4"/>
      <c r="F13" s="4"/>
      <c r="G13" s="4"/>
      <c r="H13" s="4"/>
      <c r="I13" s="111"/>
      <c r="J13" s="111"/>
      <c r="K13" s="111"/>
    </row>
    <row r="14" spans="1:13" x14ac:dyDescent="0.2">
      <c r="A14" s="4"/>
      <c r="B14" s="4"/>
      <c r="C14" s="4"/>
      <c r="D14" s="4"/>
      <c r="E14" s="4"/>
      <c r="F14" s="4"/>
      <c r="G14" s="4"/>
      <c r="H14" s="4"/>
      <c r="I14" s="111"/>
      <c r="J14" s="111"/>
      <c r="K14" s="111"/>
    </row>
    <row r="15" spans="1:13" x14ac:dyDescent="0.2">
      <c r="A15" s="4"/>
      <c r="B15" s="4"/>
      <c r="C15" s="4"/>
      <c r="D15" s="4"/>
      <c r="E15" s="4"/>
      <c r="F15" s="4"/>
      <c r="G15" s="4"/>
      <c r="H15" s="4"/>
      <c r="I15" s="111"/>
      <c r="J15" s="111"/>
      <c r="K15" s="111"/>
    </row>
    <row r="16" spans="1:13" x14ac:dyDescent="0.2">
      <c r="A16" s="4"/>
      <c r="B16" s="4"/>
      <c r="C16" s="4"/>
      <c r="D16" s="4"/>
      <c r="E16" s="4"/>
      <c r="F16" s="4"/>
      <c r="G16" s="4"/>
      <c r="H16" s="4"/>
      <c r="I16" s="111"/>
      <c r="J16" s="111"/>
      <c r="K16" s="111"/>
    </row>
    <row r="17" spans="1:23" x14ac:dyDescent="0.2">
      <c r="A17" s="4"/>
      <c r="B17" s="4"/>
      <c r="C17" s="4"/>
      <c r="D17" s="4"/>
      <c r="E17" s="4"/>
      <c r="F17" s="4"/>
      <c r="G17" s="4"/>
      <c r="H17" s="4"/>
      <c r="I17" s="111"/>
      <c r="J17" s="111"/>
      <c r="K17" s="111"/>
    </row>
    <row r="18" spans="1:23" x14ac:dyDescent="0.2">
      <c r="A18" s="4"/>
      <c r="B18" s="4"/>
      <c r="C18" s="4"/>
      <c r="D18" s="4"/>
      <c r="E18" s="4"/>
      <c r="F18" s="4"/>
      <c r="G18" s="4"/>
      <c r="H18" s="4"/>
      <c r="I18" s="111"/>
      <c r="J18" s="111"/>
      <c r="K18" s="111"/>
    </row>
    <row r="19" spans="1:23" x14ac:dyDescent="0.2">
      <c r="A19" s="4"/>
      <c r="B19" s="4"/>
      <c r="C19" s="4"/>
      <c r="D19" s="4"/>
      <c r="E19" s="4"/>
      <c r="F19" s="4"/>
      <c r="G19" s="4"/>
      <c r="H19" s="4"/>
      <c r="I19" s="111"/>
      <c r="J19" s="111"/>
      <c r="K19" s="111"/>
    </row>
    <row r="20" spans="1:23" x14ac:dyDescent="0.2">
      <c r="A20" s="4"/>
      <c r="B20" s="4"/>
      <c r="C20" s="4"/>
      <c r="D20" s="4"/>
      <c r="E20" s="4"/>
      <c r="F20" s="4"/>
      <c r="G20" s="4"/>
      <c r="H20" s="4"/>
      <c r="I20" s="111"/>
      <c r="J20" s="111"/>
      <c r="K20" s="111"/>
    </row>
    <row r="21" spans="1:23" x14ac:dyDescent="0.2">
      <c r="A21" s="4"/>
      <c r="B21" s="4"/>
      <c r="C21" s="4"/>
      <c r="D21" s="4"/>
      <c r="E21" s="4"/>
      <c r="F21" s="4"/>
      <c r="G21" s="4"/>
      <c r="H21" s="4"/>
      <c r="I21" s="111"/>
      <c r="J21" s="111"/>
      <c r="K21" s="111"/>
    </row>
    <row r="22" spans="1:23" x14ac:dyDescent="0.2">
      <c r="A22" s="4"/>
      <c r="B22" s="4"/>
      <c r="C22" s="75"/>
      <c r="D22" s="75"/>
      <c r="E22" s="4"/>
      <c r="F22" s="4"/>
      <c r="G22" s="4"/>
      <c r="H22" s="4"/>
      <c r="I22" s="111"/>
      <c r="J22" s="111"/>
      <c r="K22" s="111"/>
    </row>
    <row r="23" spans="1:23" x14ac:dyDescent="0.2">
      <c r="A23" s="4"/>
      <c r="B23" s="4"/>
      <c r="C23" s="75"/>
      <c r="D23" s="75"/>
      <c r="E23" s="4"/>
      <c r="F23" s="4"/>
      <c r="G23" s="4"/>
      <c r="H23" s="4"/>
      <c r="I23" s="111"/>
      <c r="J23" s="111"/>
      <c r="K23" s="111"/>
    </row>
    <row r="24" spans="1:23" x14ac:dyDescent="0.2">
      <c r="A24" s="4"/>
      <c r="B24" s="4"/>
      <c r="C24" s="75"/>
      <c r="D24" s="75"/>
      <c r="E24" s="4"/>
      <c r="F24" s="4"/>
      <c r="G24" s="4"/>
      <c r="H24" s="4"/>
      <c r="I24" s="111"/>
      <c r="J24" s="111"/>
      <c r="K24" s="111"/>
    </row>
    <row r="25" spans="1:23" x14ac:dyDescent="0.2">
      <c r="A25" s="4"/>
      <c r="B25" s="4"/>
      <c r="C25" s="75"/>
      <c r="D25" s="75"/>
      <c r="E25" s="4"/>
      <c r="F25" s="4"/>
      <c r="G25" s="4"/>
      <c r="H25" s="4"/>
      <c r="I25" s="111"/>
      <c r="J25" s="111"/>
      <c r="K25" s="111"/>
    </row>
    <row r="26" spans="1:23" x14ac:dyDescent="0.2">
      <c r="A26" s="4"/>
      <c r="B26" s="4"/>
      <c r="C26" s="75"/>
      <c r="D26" s="75"/>
      <c r="E26" s="4"/>
      <c r="F26" s="4"/>
      <c r="G26" s="4"/>
      <c r="H26" s="4"/>
      <c r="I26" s="111"/>
      <c r="J26" s="111"/>
      <c r="K26" s="111"/>
    </row>
    <row r="27" spans="1:23" x14ac:dyDescent="0.2">
      <c r="A27" s="4"/>
      <c r="B27" s="4"/>
      <c r="C27" s="75"/>
      <c r="D27" s="75"/>
      <c r="E27" s="4"/>
      <c r="F27" s="4"/>
      <c r="G27" s="4"/>
      <c r="H27" s="4"/>
      <c r="I27" s="111"/>
      <c r="J27" s="111"/>
      <c r="K27" s="111"/>
    </row>
    <row r="28" spans="1:23" x14ac:dyDescent="0.2">
      <c r="A28" s="4"/>
      <c r="B28" s="4"/>
      <c r="C28" s="75"/>
      <c r="D28" s="75"/>
      <c r="E28" s="4"/>
      <c r="F28" s="4"/>
      <c r="G28" s="4"/>
      <c r="H28" s="4"/>
      <c r="I28" s="111"/>
      <c r="J28" s="111"/>
      <c r="K28" s="111"/>
    </row>
    <row r="29" spans="1:23" x14ac:dyDescent="0.2">
      <c r="A29" s="4"/>
      <c r="B29" s="4"/>
      <c r="C29" s="75"/>
      <c r="D29" s="75"/>
      <c r="E29" s="4"/>
      <c r="F29" s="4"/>
      <c r="G29" s="4"/>
      <c r="H29" s="4"/>
      <c r="I29" s="111"/>
      <c r="J29" s="111"/>
      <c r="K29" s="111"/>
    </row>
    <row r="30" spans="1:23" x14ac:dyDescent="0.2">
      <c r="A30" s="4"/>
      <c r="B30" s="4"/>
      <c r="C30" s="75"/>
      <c r="D30" s="75"/>
      <c r="E30" s="4"/>
      <c r="F30" s="4"/>
      <c r="G30" s="4"/>
      <c r="H30" s="4"/>
      <c r="I30" s="111"/>
      <c r="J30" s="111"/>
      <c r="K30" s="111"/>
    </row>
    <row r="31" spans="1:23" x14ac:dyDescent="0.2">
      <c r="A31" s="4"/>
      <c r="B31" s="4"/>
      <c r="C31" s="75"/>
      <c r="D31" s="75"/>
      <c r="E31" s="4"/>
      <c r="F31" s="4"/>
      <c r="G31" s="4"/>
      <c r="H31" s="4"/>
      <c r="I31" s="111"/>
      <c r="J31" s="111"/>
      <c r="K31" s="111"/>
      <c r="W31" s="7"/>
    </row>
    <row r="32" spans="1:23" x14ac:dyDescent="0.2">
      <c r="A32" s="4"/>
      <c r="B32" s="4"/>
      <c r="C32" s="75"/>
      <c r="D32" s="75"/>
      <c r="E32" s="4"/>
      <c r="F32" s="4"/>
      <c r="G32" s="4"/>
      <c r="H32" s="4"/>
      <c r="I32" s="111"/>
      <c r="J32" s="111"/>
      <c r="K32" s="111"/>
      <c r="W32" s="7"/>
    </row>
    <row r="33" spans="1:23" x14ac:dyDescent="0.2">
      <c r="A33" s="4"/>
      <c r="B33" s="4"/>
      <c r="C33" s="75"/>
      <c r="D33" s="75"/>
      <c r="E33" s="4"/>
      <c r="F33" s="4"/>
      <c r="G33" s="4"/>
      <c r="H33" s="4"/>
      <c r="I33" s="111"/>
      <c r="J33" s="111"/>
      <c r="K33" s="111"/>
      <c r="W33" s="7"/>
    </row>
    <row r="34" spans="1:23" x14ac:dyDescent="0.2">
      <c r="A34" s="4"/>
      <c r="B34" s="4"/>
      <c r="C34" s="4"/>
      <c r="D34" s="4"/>
      <c r="E34" s="4"/>
      <c r="F34" s="4"/>
      <c r="G34" s="4"/>
      <c r="H34" s="4"/>
      <c r="I34" s="111"/>
      <c r="J34" s="111"/>
      <c r="K34" s="111"/>
      <c r="W34" s="7"/>
    </row>
    <row r="35" spans="1:23" x14ac:dyDescent="0.2">
      <c r="A35" s="4"/>
      <c r="B35" s="4"/>
      <c r="C35" s="4"/>
      <c r="D35" s="4"/>
      <c r="E35" s="4"/>
      <c r="F35" s="4"/>
      <c r="G35" s="4"/>
      <c r="H35" s="4"/>
      <c r="I35" s="111"/>
      <c r="J35" s="111"/>
      <c r="K35" s="111"/>
      <c r="W35" s="7"/>
    </row>
    <row r="36" spans="1:23" x14ac:dyDescent="0.2">
      <c r="A36" s="4"/>
      <c r="B36" s="4"/>
      <c r="C36" s="4"/>
      <c r="D36" s="4"/>
      <c r="E36" s="4"/>
      <c r="F36" s="4"/>
      <c r="G36" s="4"/>
      <c r="H36" s="4"/>
      <c r="I36" s="111"/>
      <c r="J36" s="111"/>
      <c r="K36" s="111"/>
    </row>
    <row r="37" spans="1:23" x14ac:dyDescent="0.2">
      <c r="A37" s="4"/>
      <c r="B37" s="4"/>
      <c r="C37" s="4"/>
      <c r="D37" s="4"/>
      <c r="E37" s="4"/>
      <c r="F37" s="4"/>
      <c r="G37" s="4"/>
      <c r="H37" s="4"/>
      <c r="I37" s="111"/>
      <c r="J37" s="111"/>
      <c r="K37" s="111"/>
    </row>
    <row r="38" spans="1:23" x14ac:dyDescent="0.2">
      <c r="A38" s="4"/>
      <c r="B38" s="4"/>
      <c r="C38" s="4"/>
      <c r="D38" s="4"/>
      <c r="E38" s="4"/>
      <c r="F38" s="4"/>
      <c r="G38" s="4"/>
      <c r="H38" s="4"/>
      <c r="I38" s="111"/>
      <c r="J38" s="111"/>
      <c r="K38" s="111"/>
    </row>
    <row r="39" spans="1:23" x14ac:dyDescent="0.2">
      <c r="A39" s="4"/>
      <c r="B39" s="4"/>
      <c r="C39" s="4"/>
      <c r="D39" s="4"/>
      <c r="E39" s="4"/>
      <c r="F39" s="4"/>
      <c r="G39" s="4"/>
      <c r="H39" s="4"/>
      <c r="I39" s="111"/>
      <c r="J39" s="111"/>
      <c r="K39" s="111"/>
    </row>
    <row r="40" spans="1:23" x14ac:dyDescent="0.2">
      <c r="A40" s="4"/>
      <c r="B40" s="4"/>
      <c r="C40" s="4"/>
      <c r="D40" s="4"/>
      <c r="E40" s="4"/>
      <c r="F40" s="4"/>
      <c r="G40" s="4"/>
      <c r="H40" s="4"/>
      <c r="I40" s="111"/>
      <c r="J40" s="111"/>
      <c r="K40" s="111"/>
    </row>
    <row r="41" spans="1:23" x14ac:dyDescent="0.2">
      <c r="A41" s="4"/>
      <c r="B41" s="4"/>
      <c r="C41" s="4"/>
      <c r="D41" s="4"/>
      <c r="E41" s="4"/>
      <c r="F41" s="4"/>
      <c r="G41" s="4"/>
      <c r="H41" s="4"/>
      <c r="I41" s="111"/>
      <c r="J41" s="111"/>
      <c r="K41" s="111"/>
      <c r="M41" s="4"/>
      <c r="N41" s="4"/>
      <c r="O41" s="4"/>
      <c r="P41" s="4"/>
      <c r="Q41" s="4"/>
      <c r="T41" s="4"/>
      <c r="V41" s="4"/>
      <c r="W41" s="10"/>
    </row>
    <row r="42" spans="1:23" x14ac:dyDescent="0.2">
      <c r="A42" s="4"/>
      <c r="B42" s="4"/>
      <c r="C42" s="4"/>
      <c r="D42" s="4"/>
      <c r="E42" s="4"/>
      <c r="F42" s="4"/>
      <c r="G42" s="4"/>
      <c r="H42" s="4"/>
      <c r="I42" s="111"/>
      <c r="J42" s="111"/>
      <c r="K42" s="111"/>
      <c r="M42" s="4"/>
      <c r="N42" s="4"/>
      <c r="O42" s="4"/>
      <c r="P42" s="4"/>
      <c r="Q42" s="4"/>
      <c r="T42" s="4"/>
      <c r="V42" s="4"/>
      <c r="W42" s="10"/>
    </row>
    <row r="43" spans="1:23" x14ac:dyDescent="0.2">
      <c r="A43" s="4"/>
      <c r="B43" s="4"/>
      <c r="C43" s="4"/>
      <c r="D43" s="4"/>
      <c r="E43" s="4"/>
      <c r="F43" s="4"/>
      <c r="G43" s="4"/>
      <c r="H43" s="4"/>
      <c r="I43" s="111"/>
      <c r="J43" s="111"/>
      <c r="K43" s="111"/>
    </row>
    <row r="47" spans="1:23" x14ac:dyDescent="0.2">
      <c r="O47" s="4"/>
    </row>
    <row r="48" spans="1:23" x14ac:dyDescent="0.2">
      <c r="O48" s="4"/>
    </row>
  </sheetData>
  <pageMargins left="0.7" right="0.7" top="0.75" bottom="0.75" header="0.3" footer="0.3"/>
  <pageSetup paperSize="9" scale="54" orientation="portrait" horizontalDpi="0" verticalDpi="0"/>
  <headerFooter>
    <oddFooter>&amp;C&amp;K000000Anhang Seite &amp;P von &amp;N</oddFooter>
  </headerFooter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40FE-F865-EC49-AD75-5369FC201A2A}">
  <sheetPr codeName="Tabelle4">
    <pageSetUpPr fitToPage="1"/>
  </sheetPr>
  <dimension ref="A1:J29"/>
  <sheetViews>
    <sheetView view="pageBreakPreview" zoomScaleNormal="100" zoomScaleSheetLayoutView="100" workbookViewId="0">
      <selection activeCell="B27" sqref="B27"/>
    </sheetView>
  </sheetViews>
  <sheetFormatPr baseColWidth="10" defaultRowHeight="15" x14ac:dyDescent="0.2"/>
  <cols>
    <col min="1" max="1" width="15.83203125" customWidth="1"/>
    <col min="2" max="2" width="16.6640625" style="115" customWidth="1"/>
    <col min="4" max="4" width="6.1640625" bestFit="1" customWidth="1"/>
    <col min="5" max="5" width="16.6640625" customWidth="1"/>
    <col min="6" max="6" width="12.6640625" customWidth="1"/>
    <col min="7" max="7" width="27.6640625" style="17" customWidth="1"/>
    <col min="8" max="8" width="25.1640625" customWidth="1"/>
    <col min="9" max="9" width="2.33203125" customWidth="1"/>
  </cols>
  <sheetData>
    <row r="1" spans="1:10" ht="29" x14ac:dyDescent="0.35">
      <c r="A1" s="3" t="s">
        <v>22</v>
      </c>
      <c r="J1" s="119" t="s">
        <v>97</v>
      </c>
    </row>
    <row r="2" spans="1:10" ht="19" x14ac:dyDescent="0.25">
      <c r="A2" s="8" t="s">
        <v>23</v>
      </c>
      <c r="J2" s="120" t="s">
        <v>105</v>
      </c>
    </row>
    <row r="3" spans="1:10" ht="19" x14ac:dyDescent="0.25">
      <c r="A3" s="8"/>
      <c r="J3" s="120" t="s">
        <v>116</v>
      </c>
    </row>
    <row r="4" spans="1:10" ht="19" x14ac:dyDescent="0.25">
      <c r="A4" s="8"/>
      <c r="J4" s="120" t="s">
        <v>106</v>
      </c>
    </row>
    <row r="5" spans="1:10" ht="29" x14ac:dyDescent="0.35">
      <c r="A5" s="3">
        <f>Zusammenfassung!A4</f>
        <v>2021</v>
      </c>
    </row>
    <row r="7" spans="1:10" x14ac:dyDescent="0.2">
      <c r="A7" s="4" t="s">
        <v>24</v>
      </c>
      <c r="B7" s="116" t="s">
        <v>3</v>
      </c>
      <c r="C7" s="12" t="s">
        <v>4</v>
      </c>
      <c r="D7" s="4" t="s">
        <v>25</v>
      </c>
      <c r="E7" s="12" t="s">
        <v>13</v>
      </c>
      <c r="F7" s="14" t="s">
        <v>26</v>
      </c>
      <c r="G7" s="23" t="s">
        <v>27</v>
      </c>
      <c r="H7" s="4" t="s">
        <v>0</v>
      </c>
    </row>
    <row r="8" spans="1:10" ht="16" thickBot="1" x14ac:dyDescent="0.25">
      <c r="A8" s="47"/>
      <c r="B8" s="113"/>
      <c r="G8" s="18"/>
      <c r="H8" s="4" t="str">
        <f>IF(Table18[[#This Row],[Art]]="Airdrop","steuerfrei",IF(Table18[[#This Row],[Art]]="Geschenk / Trinkgeld","steuerfrei",IF(Table18[[#This Row],[Art]]="Einnahme (steuerfrei)","steuerfrei",IF(Table18[[#This Row],[Art]]="Einnahme","steuerpflichtig","steuerpflichtig"))))</f>
        <v>steuerpflichtig</v>
      </c>
    </row>
    <row r="9" spans="1:10" ht="16" thickTop="1" x14ac:dyDescent="0.2">
      <c r="A9" s="44" t="s">
        <v>76</v>
      </c>
      <c r="B9" s="117"/>
      <c r="C9" s="67"/>
      <c r="D9" s="67"/>
      <c r="E9" s="68"/>
      <c r="F9" s="68"/>
      <c r="G9" s="69">
        <f>SUBTOTAL(109,Table18[Wert im Zeitpunkt des Eingangs])</f>
        <v>0</v>
      </c>
    </row>
    <row r="10" spans="1:10" x14ac:dyDescent="0.2">
      <c r="A10" s="45" t="s">
        <v>73</v>
      </c>
      <c r="C10" s="5"/>
      <c r="D10" s="5"/>
      <c r="G10" s="17">
        <f>G9-G11</f>
        <v>0</v>
      </c>
    </row>
    <row r="11" spans="1:10" x14ac:dyDescent="0.2">
      <c r="A11" s="45" t="s">
        <v>72</v>
      </c>
      <c r="C11" s="5"/>
      <c r="D11" s="5"/>
      <c r="G11" s="17">
        <f>SUMIF(Table18[Typ],"Steuerfrei",Table18[Wert im Zeitpunkt des Eingangs])</f>
        <v>0</v>
      </c>
    </row>
    <row r="12" spans="1:10" x14ac:dyDescent="0.2">
      <c r="A12" s="45"/>
      <c r="C12" s="5"/>
      <c r="D12" s="5"/>
    </row>
    <row r="13" spans="1:10" x14ac:dyDescent="0.2">
      <c r="B13" s="113"/>
    </row>
    <row r="14" spans="1:10" ht="16" thickBot="1" x14ac:dyDescent="0.25">
      <c r="A14" s="61" t="s">
        <v>77</v>
      </c>
      <c r="B14" s="118"/>
      <c r="C14" s="64"/>
      <c r="D14" s="64"/>
      <c r="E14" s="64"/>
      <c r="F14" s="64"/>
      <c r="G14" s="70">
        <f>G10</f>
        <v>0</v>
      </c>
    </row>
    <row r="15" spans="1:10" ht="16" thickTop="1" x14ac:dyDescent="0.2">
      <c r="A15" s="32"/>
      <c r="B15" s="113"/>
      <c r="G15" s="18"/>
    </row>
    <row r="16" spans="1:10" x14ac:dyDescent="0.2">
      <c r="A16" s="32"/>
      <c r="B16" s="113"/>
      <c r="G16" s="18"/>
    </row>
    <row r="17" spans="1:7" x14ac:dyDescent="0.2">
      <c r="A17" s="32"/>
      <c r="B17" s="113"/>
      <c r="G17" s="18"/>
    </row>
    <row r="18" spans="1:7" x14ac:dyDescent="0.2">
      <c r="A18" s="32"/>
      <c r="B18" s="113"/>
      <c r="G18" s="18"/>
    </row>
    <row r="19" spans="1:7" x14ac:dyDescent="0.2">
      <c r="A19" s="32"/>
      <c r="B19" s="113"/>
      <c r="C19" s="18"/>
    </row>
    <row r="20" spans="1:7" x14ac:dyDescent="0.2">
      <c r="A20" s="32"/>
      <c r="B20" s="113"/>
      <c r="G20" s="18"/>
    </row>
    <row r="21" spans="1:7" x14ac:dyDescent="0.2">
      <c r="A21" s="32"/>
      <c r="B21" s="113"/>
      <c r="G21" s="126"/>
    </row>
    <row r="22" spans="1:7" x14ac:dyDescent="0.2">
      <c r="A22" s="32"/>
      <c r="B22" s="113"/>
      <c r="G22" s="18"/>
    </row>
    <row r="23" spans="1:7" x14ac:dyDescent="0.2">
      <c r="A23" s="32"/>
      <c r="B23" s="113"/>
      <c r="G23" s="18"/>
    </row>
    <row r="24" spans="1:7" x14ac:dyDescent="0.2">
      <c r="A24" s="32"/>
      <c r="B24" s="113"/>
      <c r="G24" s="18"/>
    </row>
    <row r="25" spans="1:7" x14ac:dyDescent="0.2">
      <c r="A25" s="32"/>
      <c r="B25" s="113"/>
      <c r="G25" s="18"/>
    </row>
    <row r="26" spans="1:7" x14ac:dyDescent="0.2">
      <c r="A26" s="32"/>
      <c r="B26" s="113"/>
      <c r="G26" s="18"/>
    </row>
    <row r="27" spans="1:7" ht="16" x14ac:dyDescent="0.2">
      <c r="A27" s="36"/>
      <c r="B27" s="113"/>
      <c r="G27" s="18"/>
    </row>
    <row r="28" spans="1:7" ht="16" x14ac:dyDescent="0.2">
      <c r="A28" s="36"/>
      <c r="B28" s="113"/>
      <c r="G28" s="48"/>
    </row>
    <row r="29" spans="1:7" ht="16" x14ac:dyDescent="0.2">
      <c r="A29" s="36"/>
      <c r="B29" s="113"/>
      <c r="G29" s="48"/>
    </row>
  </sheetData>
  <pageMargins left="0.7" right="0.7" top="0.75" bottom="0.75" header="0.3" footer="0.3"/>
  <pageSetup paperSize="9" scale="62" fitToHeight="5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E797C-3EBE-BA4D-B8AB-E03A25B5D924}">
  <sheetPr codeName="Tabelle5">
    <pageSetUpPr fitToPage="1"/>
  </sheetPr>
  <dimension ref="A1:J13"/>
  <sheetViews>
    <sheetView view="pageBreakPreview" zoomScaleNormal="100" zoomScaleSheetLayoutView="100" workbookViewId="0">
      <selection activeCell="G25" sqref="G25"/>
    </sheetView>
  </sheetViews>
  <sheetFormatPr baseColWidth="10" defaultRowHeight="15" x14ac:dyDescent="0.2"/>
  <cols>
    <col min="1" max="1" width="13.6640625" customWidth="1"/>
    <col min="2" max="2" width="9.6640625" customWidth="1"/>
    <col min="3" max="3" width="8.1640625" bestFit="1" customWidth="1"/>
    <col min="4" max="4" width="9.33203125" bestFit="1" customWidth="1"/>
    <col min="5" max="5" width="20.33203125" bestFit="1" customWidth="1"/>
    <col min="6" max="6" width="62" bestFit="1" customWidth="1"/>
    <col min="7" max="7" width="17.5" style="17" bestFit="1" customWidth="1"/>
    <col min="8" max="8" width="17.83203125" style="17" bestFit="1" customWidth="1"/>
    <col min="9" max="9" width="2" customWidth="1"/>
  </cols>
  <sheetData>
    <row r="1" spans="1:10" ht="29" x14ac:dyDescent="0.35">
      <c r="A1" s="3" t="s">
        <v>29</v>
      </c>
      <c r="J1" s="119" t="s">
        <v>97</v>
      </c>
    </row>
    <row r="2" spans="1:10" ht="19" x14ac:dyDescent="0.25">
      <c r="A2" s="8" t="s">
        <v>30</v>
      </c>
      <c r="J2" s="120" t="s">
        <v>107</v>
      </c>
    </row>
    <row r="3" spans="1:10" ht="19" x14ac:dyDescent="0.25">
      <c r="A3" s="8"/>
      <c r="J3" s="120" t="s">
        <v>116</v>
      </c>
    </row>
    <row r="5" spans="1:10" ht="29" x14ac:dyDescent="0.35">
      <c r="A5" s="3">
        <f>Zusammenfassung!A4</f>
        <v>2021</v>
      </c>
    </row>
    <row r="6" spans="1:10" x14ac:dyDescent="0.2">
      <c r="A6" s="5"/>
    </row>
    <row r="7" spans="1:10" x14ac:dyDescent="0.2">
      <c r="A7" s="11" t="s">
        <v>24</v>
      </c>
      <c r="B7" s="11" t="s">
        <v>3</v>
      </c>
      <c r="C7" s="12" t="s">
        <v>4</v>
      </c>
      <c r="D7" s="12" t="s">
        <v>25</v>
      </c>
      <c r="E7" s="12" t="s">
        <v>96</v>
      </c>
      <c r="F7" s="12" t="s">
        <v>26</v>
      </c>
      <c r="G7" s="23" t="s">
        <v>43</v>
      </c>
      <c r="H7" s="23" t="s">
        <v>28</v>
      </c>
    </row>
    <row r="8" spans="1:10" x14ac:dyDescent="0.2">
      <c r="A8" s="5"/>
      <c r="B8" s="113"/>
      <c r="G8" s="18"/>
      <c r="H8" s="18"/>
    </row>
    <row r="9" spans="1:10" x14ac:dyDescent="0.2">
      <c r="A9" s="5"/>
      <c r="B9" s="113"/>
      <c r="G9" s="18"/>
      <c r="H9" s="18"/>
    </row>
    <row r="10" spans="1:10" x14ac:dyDescent="0.2">
      <c r="A10" s="5"/>
      <c r="B10" s="113"/>
      <c r="G10" s="18"/>
      <c r="H10" s="18"/>
    </row>
    <row r="11" spans="1:10" x14ac:dyDescent="0.2">
      <c r="A11" s="5"/>
      <c r="B11" s="113"/>
      <c r="G11" s="18"/>
      <c r="H11" s="18"/>
      <c r="I11" s="5"/>
    </row>
    <row r="13" spans="1:10" x14ac:dyDescent="0.2">
      <c r="I13" s="5"/>
    </row>
  </sheetData>
  <pageMargins left="0.7" right="0.7" top="0.75" bottom="0.75" header="0.3" footer="0.3"/>
  <pageSetup paperSize="9" scale="52" orientation="portrait" horizontalDpi="0" verticalDpi="0"/>
  <headerFooter>
    <oddFooter>&amp;C&amp;K000000Anhang Seite &amp;P von &amp;N</oddFooter>
  </headerFooter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D9C6F-DB70-7C4F-9EA1-C9E4E1CA81EC}">
  <sheetPr codeName="Tabelle10">
    <tabColor theme="2" tint="-0.249977111117893"/>
    <pageSetUpPr fitToPage="1"/>
  </sheetPr>
  <dimension ref="A1:L10"/>
  <sheetViews>
    <sheetView view="pageBreakPreview" zoomScaleNormal="79" zoomScaleSheetLayoutView="100" workbookViewId="0">
      <selection activeCell="J5" sqref="J5"/>
    </sheetView>
  </sheetViews>
  <sheetFormatPr baseColWidth="10" defaultRowHeight="15" x14ac:dyDescent="0.2"/>
  <cols>
    <col min="1" max="1" width="17.5" customWidth="1"/>
    <col min="2" max="2" width="10.83203125" style="22"/>
    <col min="3" max="3" width="15.33203125" style="32" customWidth="1"/>
    <col min="4" max="4" width="14.83203125" customWidth="1"/>
    <col min="6" max="6" width="16.33203125" customWidth="1"/>
    <col min="7" max="7" width="19" customWidth="1"/>
    <col min="8" max="8" width="39.1640625" customWidth="1"/>
    <col min="9" max="9" width="2.6640625" customWidth="1"/>
  </cols>
  <sheetData>
    <row r="1" spans="1:12" s="3" customFormat="1" ht="29" x14ac:dyDescent="0.35">
      <c r="A1" s="3" t="s">
        <v>87</v>
      </c>
      <c r="B1" s="21"/>
      <c r="C1" s="31"/>
      <c r="J1" s="119" t="s">
        <v>97</v>
      </c>
    </row>
    <row r="2" spans="1:12" ht="19" x14ac:dyDescent="0.25">
      <c r="A2" s="8" t="s">
        <v>91</v>
      </c>
      <c r="J2" s="120" t="s">
        <v>108</v>
      </c>
      <c r="K2" s="2"/>
      <c r="L2" s="2"/>
    </row>
    <row r="3" spans="1:12" ht="19" x14ac:dyDescent="0.25">
      <c r="A3" s="8"/>
      <c r="J3" s="120" t="s">
        <v>109</v>
      </c>
      <c r="K3" s="2"/>
      <c r="L3" s="2"/>
    </row>
    <row r="4" spans="1:12" ht="19" x14ac:dyDescent="0.25">
      <c r="J4" s="120" t="s">
        <v>110</v>
      </c>
    </row>
    <row r="5" spans="1:12" ht="29" x14ac:dyDescent="0.35">
      <c r="A5" s="3">
        <f>Zusammenfassung!A4</f>
        <v>2021</v>
      </c>
      <c r="H5" s="4"/>
      <c r="J5" s="120"/>
    </row>
    <row r="6" spans="1:12" ht="16" x14ac:dyDescent="0.2">
      <c r="J6" s="59"/>
    </row>
    <row r="7" spans="1:12" ht="16" x14ac:dyDescent="0.2">
      <c r="A7" s="46" t="s">
        <v>92</v>
      </c>
      <c r="B7" s="79" t="s">
        <v>3</v>
      </c>
      <c r="C7" s="80" t="s">
        <v>4</v>
      </c>
      <c r="D7" s="4" t="s">
        <v>0</v>
      </c>
      <c r="E7" s="13" t="s">
        <v>89</v>
      </c>
      <c r="F7" s="13" t="s">
        <v>33</v>
      </c>
      <c r="G7" s="13" t="s">
        <v>7</v>
      </c>
      <c r="H7" s="13" t="s">
        <v>90</v>
      </c>
      <c r="J7" s="59"/>
    </row>
    <row r="8" spans="1:12" ht="16" x14ac:dyDescent="0.2">
      <c r="A8" s="5"/>
      <c r="B8"/>
      <c r="C8"/>
      <c r="H8" s="18"/>
      <c r="J8" s="59"/>
    </row>
    <row r="9" spans="1:12" ht="16" thickBot="1" x14ac:dyDescent="0.25">
      <c r="A9" s="61" t="s">
        <v>75</v>
      </c>
      <c r="B9" s="62"/>
      <c r="C9" s="63"/>
      <c r="D9" s="64"/>
      <c r="E9" s="64"/>
      <c r="F9" s="64"/>
      <c r="G9" s="64"/>
      <c r="H9" s="66">
        <f>SUM(Table26[Wert bei Transaktion in EUR])</f>
        <v>0</v>
      </c>
    </row>
    <row r="10" spans="1:12" ht="16" thickTop="1" x14ac:dyDescent="0.2"/>
  </sheetData>
  <phoneticPr fontId="26" type="noConversion"/>
  <pageMargins left="0.7" right="0.7" top="0.75" bottom="0.75" header="0.3" footer="0.3"/>
  <pageSetup paperSize="9" scale="57" fitToHeight="100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EEEF5-A4B8-4E41-9B7E-FBAA58D4B531}">
  <sheetPr codeName="Tabelle6"/>
  <dimension ref="A1:J14"/>
  <sheetViews>
    <sheetView view="pageBreakPreview" zoomScaleNormal="100" zoomScaleSheetLayoutView="100" workbookViewId="0">
      <selection activeCell="J5" sqref="J5"/>
    </sheetView>
  </sheetViews>
  <sheetFormatPr baseColWidth="10" defaultRowHeight="15" x14ac:dyDescent="0.2"/>
  <cols>
    <col min="6" max="6" width="35.1640625" customWidth="1"/>
    <col min="7" max="7" width="10.83203125" style="17"/>
    <col min="8" max="8" width="22.33203125" style="17" bestFit="1" customWidth="1"/>
  </cols>
  <sheetData>
    <row r="1" spans="1:10" ht="29" x14ac:dyDescent="0.35">
      <c r="A1" s="3" t="s">
        <v>42</v>
      </c>
      <c r="J1" s="125" t="s">
        <v>117</v>
      </c>
    </row>
    <row r="2" spans="1:10" x14ac:dyDescent="0.2">
      <c r="A2" s="8" t="s">
        <v>41</v>
      </c>
      <c r="J2" s="4" t="s">
        <v>118</v>
      </c>
    </row>
    <row r="3" spans="1:10" x14ac:dyDescent="0.2">
      <c r="A3" s="8"/>
    </row>
    <row r="5" spans="1:10" ht="29" x14ac:dyDescent="0.35">
      <c r="A5" s="3">
        <f>Zusammenfassung!A4</f>
        <v>2021</v>
      </c>
    </row>
    <row r="6" spans="1:10" x14ac:dyDescent="0.2">
      <c r="A6" s="5"/>
    </row>
    <row r="7" spans="1:10" ht="16" x14ac:dyDescent="0.2">
      <c r="A7" s="11" t="s">
        <v>35</v>
      </c>
      <c r="B7" s="11" t="s">
        <v>3</v>
      </c>
      <c r="C7" s="12" t="s">
        <v>4</v>
      </c>
      <c r="D7" s="12" t="s">
        <v>25</v>
      </c>
      <c r="E7" s="12" t="s">
        <v>13</v>
      </c>
      <c r="F7" s="15" t="s">
        <v>33</v>
      </c>
      <c r="G7" s="16" t="s">
        <v>36</v>
      </c>
      <c r="H7" s="16" t="s">
        <v>34</v>
      </c>
    </row>
    <row r="8" spans="1:10" x14ac:dyDescent="0.2">
      <c r="A8" s="5"/>
      <c r="G8" s="18"/>
      <c r="H8" s="18"/>
    </row>
    <row r="9" spans="1:10" x14ac:dyDescent="0.2">
      <c r="A9" s="5"/>
    </row>
    <row r="13" spans="1:10" ht="16" x14ac:dyDescent="0.2">
      <c r="A13" s="15"/>
      <c r="B13" s="15"/>
      <c r="C13" s="15"/>
      <c r="D13" s="15"/>
      <c r="E13" s="15"/>
      <c r="F13" s="15"/>
      <c r="G13" s="16"/>
      <c r="H13" s="16"/>
    </row>
    <row r="14" spans="1:10" x14ac:dyDescent="0.2">
      <c r="A14" s="5"/>
      <c r="G14" s="18"/>
      <c r="H14" s="18"/>
    </row>
  </sheetData>
  <pageMargins left="0.7" right="0.7" top="0.78740157499999996" bottom="0.78740157499999996" header="0.3" footer="0.3"/>
  <pageSetup paperSize="9" scale="65" orientation="portrait" horizontalDpi="0" verticalDpi="0"/>
  <headerFooter>
    <oddFooter>&amp;C&amp;K000000Anhang Seite &amp;P von &amp;N</oddFooter>
  </headerFooter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A85F-6395-8B4A-96E0-4D67BFC0E44C}">
  <sheetPr codeName="Tabelle7">
    <tabColor theme="0" tint="-0.249977111117893"/>
    <pageSetUpPr fitToPage="1"/>
  </sheetPr>
  <dimension ref="A1:P517"/>
  <sheetViews>
    <sheetView view="pageBreakPreview" zoomScaleNormal="100" zoomScaleSheetLayoutView="100" workbookViewId="0">
      <selection activeCell="A8" sqref="A8:I517"/>
    </sheetView>
  </sheetViews>
  <sheetFormatPr baseColWidth="10" defaultRowHeight="15" x14ac:dyDescent="0.2"/>
  <cols>
    <col min="1" max="1" width="15" customWidth="1"/>
    <col min="2" max="2" width="8.1640625" bestFit="1" customWidth="1"/>
    <col min="3" max="3" width="14.5" customWidth="1"/>
    <col min="4" max="4" width="21.1640625" customWidth="1"/>
    <col min="5" max="5" width="14.5" style="19" bestFit="1" customWidth="1"/>
    <col min="6" max="6" width="23.83203125" style="19" customWidth="1"/>
    <col min="7" max="7" width="17.5" style="19" customWidth="1"/>
    <col min="8" max="8" width="19.83203125" style="19" bestFit="1" customWidth="1"/>
    <col min="9" max="9" width="20" style="19" bestFit="1" customWidth="1"/>
    <col min="10" max="10" width="1.5" customWidth="1"/>
  </cols>
  <sheetData>
    <row r="1" spans="1:16" ht="29" x14ac:dyDescent="0.35">
      <c r="A1" s="3" t="s">
        <v>16</v>
      </c>
      <c r="K1" s="119" t="s">
        <v>97</v>
      </c>
    </row>
    <row r="2" spans="1:16" ht="19" x14ac:dyDescent="0.25">
      <c r="A2" s="8" t="s">
        <v>17</v>
      </c>
      <c r="K2" s="120" t="s">
        <v>114</v>
      </c>
      <c r="P2" s="59"/>
    </row>
    <row r="3" spans="1:16" ht="19" x14ac:dyDescent="0.25">
      <c r="A3" s="6"/>
      <c r="K3" s="120" t="s">
        <v>116</v>
      </c>
      <c r="P3" s="59"/>
    </row>
    <row r="4" spans="1:16" ht="19" x14ac:dyDescent="0.25">
      <c r="K4" s="120" t="s">
        <v>111</v>
      </c>
    </row>
    <row r="5" spans="1:16" s="8" customFormat="1" ht="29" x14ac:dyDescent="0.35">
      <c r="A5" s="3">
        <f>Zusammenfassung!A4</f>
        <v>2021</v>
      </c>
      <c r="C5" s="9"/>
      <c r="E5" s="24"/>
      <c r="F5" s="24"/>
      <c r="G5" s="24"/>
      <c r="H5" s="24"/>
      <c r="I5" s="24"/>
      <c r="K5" s="120" t="s">
        <v>112</v>
      </c>
    </row>
    <row r="6" spans="1:16" x14ac:dyDescent="0.2">
      <c r="D6" s="4" t="s">
        <v>79</v>
      </c>
    </row>
    <row r="7" spans="1:16" x14ac:dyDescent="0.2">
      <c r="A7" t="s">
        <v>3</v>
      </c>
      <c r="B7" t="s">
        <v>4</v>
      </c>
      <c r="C7" s="112" t="s">
        <v>5</v>
      </c>
      <c r="D7" t="s">
        <v>32</v>
      </c>
      <c r="E7" s="100" t="s">
        <v>6</v>
      </c>
      <c r="F7" s="101" t="s">
        <v>37</v>
      </c>
      <c r="G7" s="100" t="s">
        <v>7</v>
      </c>
      <c r="H7" s="100" t="s">
        <v>8</v>
      </c>
      <c r="I7" s="100" t="s">
        <v>9</v>
      </c>
    </row>
    <row r="8" spans="1:16" x14ac:dyDescent="0.2">
      <c r="A8">
        <v>1</v>
      </c>
      <c r="B8" t="s">
        <v>121</v>
      </c>
      <c r="C8" s="5">
        <v>44451</v>
      </c>
      <c r="D8" t="s">
        <v>122</v>
      </c>
      <c r="E8">
        <v>0</v>
      </c>
      <c r="F8">
        <v>0</v>
      </c>
      <c r="G8">
        <v>0</v>
      </c>
      <c r="H8">
        <v>0</v>
      </c>
      <c r="I8">
        <v>0</v>
      </c>
    </row>
    <row r="9" spans="1:16" x14ac:dyDescent="0.2">
      <c r="A9">
        <v>12506.10004309</v>
      </c>
      <c r="B9" t="s">
        <v>123</v>
      </c>
      <c r="C9" s="5">
        <v>44093</v>
      </c>
      <c r="D9" t="s">
        <v>124</v>
      </c>
      <c r="E9">
        <v>0</v>
      </c>
      <c r="F9">
        <v>5.391584E-2</v>
      </c>
      <c r="G9">
        <v>0</v>
      </c>
      <c r="H9">
        <v>674.27687034999997</v>
      </c>
      <c r="I9">
        <v>674.27687034999997</v>
      </c>
    </row>
    <row r="10" spans="1:16" x14ac:dyDescent="0.2">
      <c r="A10">
        <v>3893.9</v>
      </c>
      <c r="B10" t="s">
        <v>123</v>
      </c>
      <c r="C10" s="5">
        <v>44119</v>
      </c>
      <c r="D10" t="s">
        <v>124</v>
      </c>
      <c r="E10">
        <v>0</v>
      </c>
      <c r="F10">
        <v>5.391584E-2</v>
      </c>
      <c r="G10">
        <v>0</v>
      </c>
      <c r="H10">
        <v>209.94288359000001</v>
      </c>
      <c r="I10">
        <v>209.94288359000001</v>
      </c>
    </row>
    <row r="11" spans="1:16" x14ac:dyDescent="0.2">
      <c r="A11">
        <v>3159267.22</v>
      </c>
      <c r="B11" t="s">
        <v>125</v>
      </c>
      <c r="C11" s="5">
        <v>44229</v>
      </c>
      <c r="D11" t="s">
        <v>122</v>
      </c>
      <c r="E11">
        <v>0</v>
      </c>
      <c r="F11">
        <v>8.9131660000000001E-2</v>
      </c>
      <c r="G11">
        <v>0</v>
      </c>
      <c r="H11">
        <v>281590.72951462999</v>
      </c>
      <c r="I11">
        <v>281590.72951462999</v>
      </c>
    </row>
    <row r="12" spans="1:16" x14ac:dyDescent="0.2">
      <c r="A12">
        <v>52.478842999999998</v>
      </c>
      <c r="B12" t="s">
        <v>126</v>
      </c>
      <c r="C12" s="5">
        <v>44282</v>
      </c>
      <c r="D12" t="s">
        <v>127</v>
      </c>
      <c r="E12">
        <v>0</v>
      </c>
      <c r="F12">
        <v>6.7948789999999995E-2</v>
      </c>
      <c r="G12">
        <v>0</v>
      </c>
      <c r="H12">
        <v>3.5658737199999999</v>
      </c>
      <c r="I12">
        <v>3.5658737199999999</v>
      </c>
    </row>
    <row r="13" spans="1:16" x14ac:dyDescent="0.2">
      <c r="A13">
        <v>50000</v>
      </c>
      <c r="B13" t="s">
        <v>128</v>
      </c>
      <c r="C13" s="5">
        <v>44435</v>
      </c>
      <c r="D13" t="s">
        <v>129</v>
      </c>
      <c r="E13">
        <v>0</v>
      </c>
      <c r="F13">
        <v>0.21037347000000001</v>
      </c>
      <c r="G13">
        <v>0</v>
      </c>
      <c r="H13">
        <v>10518.67352617</v>
      </c>
      <c r="I13">
        <v>10518.67352617</v>
      </c>
    </row>
    <row r="14" spans="1:16" x14ac:dyDescent="0.2">
      <c r="A14">
        <v>280000</v>
      </c>
      <c r="B14" t="s">
        <v>130</v>
      </c>
      <c r="C14" s="5">
        <v>44513</v>
      </c>
      <c r="D14" t="s">
        <v>122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16" x14ac:dyDescent="0.2">
      <c r="A15">
        <v>280000</v>
      </c>
      <c r="B15" t="s">
        <v>130</v>
      </c>
      <c r="C15" s="5">
        <v>44538</v>
      </c>
      <c r="D15" t="s">
        <v>127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16" x14ac:dyDescent="0.2">
      <c r="A16">
        <v>7.9699999999999999E-5</v>
      </c>
      <c r="B16" t="s">
        <v>131</v>
      </c>
      <c r="C16" s="5">
        <v>43164</v>
      </c>
      <c r="D16" t="s">
        <v>132</v>
      </c>
      <c r="E16">
        <v>0</v>
      </c>
      <c r="F16">
        <v>128.81788778000001</v>
      </c>
      <c r="G16">
        <v>0</v>
      </c>
      <c r="H16">
        <v>1.026679E-2</v>
      </c>
      <c r="I16">
        <v>1.026679E-2</v>
      </c>
    </row>
    <row r="17" spans="1:9" x14ac:dyDescent="0.2">
      <c r="A17">
        <v>15625</v>
      </c>
      <c r="B17" t="s">
        <v>133</v>
      </c>
      <c r="C17" s="5">
        <v>44021</v>
      </c>
      <c r="D17" t="s">
        <v>127</v>
      </c>
      <c r="E17">
        <v>0</v>
      </c>
      <c r="F17">
        <v>0.61299957999999999</v>
      </c>
      <c r="G17">
        <v>0</v>
      </c>
      <c r="H17">
        <v>9578.1184654600002</v>
      </c>
      <c r="I17">
        <v>9578.1184654600002</v>
      </c>
    </row>
    <row r="18" spans="1:9" x14ac:dyDescent="0.2">
      <c r="A18">
        <v>1.0000000000000001E-5</v>
      </c>
      <c r="B18" t="s">
        <v>134</v>
      </c>
      <c r="C18" s="5">
        <v>44250</v>
      </c>
      <c r="D18" t="s">
        <v>127</v>
      </c>
      <c r="E18">
        <v>0</v>
      </c>
      <c r="F18">
        <v>3.9457289999999999E-2</v>
      </c>
      <c r="G18">
        <v>0</v>
      </c>
      <c r="H18">
        <v>3.9000000000000002E-7</v>
      </c>
      <c r="I18">
        <v>3.9000000000000002E-7</v>
      </c>
    </row>
    <row r="19" spans="1:9" x14ac:dyDescent="0.2">
      <c r="A19">
        <v>1431390.48713</v>
      </c>
      <c r="B19" t="s">
        <v>135</v>
      </c>
      <c r="C19" s="5">
        <v>44297</v>
      </c>
      <c r="D19" t="s">
        <v>122</v>
      </c>
      <c r="E19">
        <v>0</v>
      </c>
      <c r="F19">
        <v>4.066413E-2</v>
      </c>
      <c r="G19">
        <v>0</v>
      </c>
      <c r="H19">
        <v>58206.24212517</v>
      </c>
      <c r="I19">
        <v>58206.24212517</v>
      </c>
    </row>
    <row r="20" spans="1:9" x14ac:dyDescent="0.2">
      <c r="A20">
        <v>16761996617.322998</v>
      </c>
      <c r="B20" t="s">
        <v>136</v>
      </c>
      <c r="C20" s="5">
        <v>44330</v>
      </c>
      <c r="D20" t="s">
        <v>124</v>
      </c>
      <c r="E20">
        <v>0</v>
      </c>
      <c r="F20">
        <v>0</v>
      </c>
      <c r="G20">
        <v>0</v>
      </c>
      <c r="H20">
        <v>34.112129789999997</v>
      </c>
      <c r="I20">
        <v>34.112129789999997</v>
      </c>
    </row>
    <row r="21" spans="1:9" x14ac:dyDescent="0.2">
      <c r="A21">
        <v>13333</v>
      </c>
      <c r="B21" t="s">
        <v>137</v>
      </c>
      <c r="C21" s="5">
        <v>44333</v>
      </c>
      <c r="D21" t="s">
        <v>122</v>
      </c>
      <c r="E21">
        <v>0</v>
      </c>
      <c r="F21">
        <v>2.996998E-2</v>
      </c>
      <c r="G21">
        <v>0</v>
      </c>
      <c r="H21">
        <v>399.58974088999997</v>
      </c>
      <c r="I21">
        <v>399.58974088999997</v>
      </c>
    </row>
    <row r="22" spans="1:9" x14ac:dyDescent="0.2">
      <c r="A22">
        <v>8</v>
      </c>
      <c r="B22" t="s">
        <v>138</v>
      </c>
      <c r="C22" s="5">
        <v>44438</v>
      </c>
      <c r="D22" t="s">
        <v>139</v>
      </c>
      <c r="E22">
        <v>0</v>
      </c>
      <c r="F22">
        <v>0.93952952999999995</v>
      </c>
      <c r="G22">
        <v>0</v>
      </c>
      <c r="H22">
        <v>7.5162362399999996</v>
      </c>
      <c r="I22">
        <v>7.5162362399999996</v>
      </c>
    </row>
    <row r="23" spans="1:9" x14ac:dyDescent="0.2">
      <c r="A23">
        <v>0.1</v>
      </c>
      <c r="B23" t="s">
        <v>140</v>
      </c>
      <c r="C23" s="5">
        <v>44525</v>
      </c>
      <c r="D23" t="s">
        <v>141</v>
      </c>
      <c r="E23">
        <v>0</v>
      </c>
      <c r="F23">
        <v>95.975352470000004</v>
      </c>
      <c r="G23">
        <v>0</v>
      </c>
      <c r="H23">
        <v>9.59753525</v>
      </c>
      <c r="I23">
        <v>9.59753525</v>
      </c>
    </row>
    <row r="24" spans="1:9" x14ac:dyDescent="0.2">
      <c r="A24">
        <v>40000</v>
      </c>
      <c r="B24" t="s">
        <v>142</v>
      </c>
      <c r="C24" s="5">
        <v>44270</v>
      </c>
      <c r="D24" t="s">
        <v>122</v>
      </c>
      <c r="E24">
        <v>0</v>
      </c>
      <c r="F24">
        <v>6.8654450000000006E-2</v>
      </c>
      <c r="G24">
        <v>0</v>
      </c>
      <c r="H24">
        <v>2746.1779081499999</v>
      </c>
      <c r="I24">
        <v>2746.1779081499999</v>
      </c>
    </row>
    <row r="25" spans="1:9" x14ac:dyDescent="0.2">
      <c r="A25">
        <v>160000</v>
      </c>
      <c r="B25" t="s">
        <v>143</v>
      </c>
      <c r="C25" s="5">
        <v>44312</v>
      </c>
      <c r="D25" t="s">
        <v>122</v>
      </c>
      <c r="E25">
        <v>0</v>
      </c>
      <c r="F25">
        <v>3.0188050000000001E-2</v>
      </c>
      <c r="G25">
        <v>0</v>
      </c>
      <c r="H25">
        <v>4830.0880038699997</v>
      </c>
      <c r="I25">
        <v>4830.0880038699997</v>
      </c>
    </row>
    <row r="26" spans="1:9" x14ac:dyDescent="0.2">
      <c r="A26">
        <v>124993.75</v>
      </c>
      <c r="B26" t="s">
        <v>144</v>
      </c>
      <c r="C26" s="5">
        <v>44487</v>
      </c>
      <c r="D26" t="s">
        <v>145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">
      <c r="A27">
        <v>75.152546290000004</v>
      </c>
      <c r="B27" t="s">
        <v>146</v>
      </c>
      <c r="C27" s="5">
        <v>44090</v>
      </c>
      <c r="D27" t="s">
        <v>147</v>
      </c>
      <c r="E27">
        <v>0</v>
      </c>
      <c r="F27">
        <v>0.26759418000000001</v>
      </c>
      <c r="G27">
        <v>0</v>
      </c>
      <c r="H27">
        <v>20.110383909999999</v>
      </c>
      <c r="I27">
        <v>20.110383909999999</v>
      </c>
    </row>
    <row r="28" spans="1:9" x14ac:dyDescent="0.2">
      <c r="A28">
        <v>1000</v>
      </c>
      <c r="B28" t="s">
        <v>148</v>
      </c>
      <c r="C28" s="5">
        <v>44298</v>
      </c>
      <c r="D28" t="s">
        <v>122</v>
      </c>
      <c r="E28">
        <v>0</v>
      </c>
      <c r="F28">
        <v>9.3221082600000003</v>
      </c>
      <c r="G28">
        <v>0</v>
      </c>
      <c r="H28">
        <v>9322.1082584399992</v>
      </c>
      <c r="I28">
        <v>9322.1082584399992</v>
      </c>
    </row>
    <row r="29" spans="1:9" x14ac:dyDescent="0.2">
      <c r="A29">
        <v>0.25996540000000001</v>
      </c>
      <c r="B29" t="s">
        <v>149</v>
      </c>
      <c r="C29" s="5">
        <v>44477</v>
      </c>
      <c r="D29" t="s">
        <v>150</v>
      </c>
      <c r="E29">
        <v>0</v>
      </c>
      <c r="F29">
        <v>0.53776794000000006</v>
      </c>
      <c r="G29">
        <v>0</v>
      </c>
      <c r="H29">
        <v>0.13980106</v>
      </c>
      <c r="I29">
        <v>0.13980106</v>
      </c>
    </row>
    <row r="30" spans="1:9" x14ac:dyDescent="0.2">
      <c r="A30">
        <v>1200000</v>
      </c>
      <c r="B30" t="s">
        <v>151</v>
      </c>
      <c r="C30" s="5">
        <v>44085</v>
      </c>
      <c r="D30" t="s">
        <v>152</v>
      </c>
      <c r="E30">
        <v>0</v>
      </c>
      <c r="F30">
        <v>0.11505079</v>
      </c>
      <c r="G30">
        <v>0</v>
      </c>
      <c r="H30">
        <v>138060.94815432001</v>
      </c>
      <c r="I30">
        <v>138060.94815432001</v>
      </c>
    </row>
    <row r="31" spans="1:9" x14ac:dyDescent="0.2">
      <c r="A31">
        <v>320000</v>
      </c>
      <c r="B31" t="s">
        <v>151</v>
      </c>
      <c r="C31" s="5">
        <v>44503</v>
      </c>
      <c r="D31" t="s">
        <v>122</v>
      </c>
      <c r="E31">
        <v>0</v>
      </c>
      <c r="F31">
        <v>0.11505079</v>
      </c>
      <c r="G31">
        <v>0</v>
      </c>
      <c r="H31">
        <v>36816.252841150002</v>
      </c>
      <c r="I31">
        <v>36816.252841150002</v>
      </c>
    </row>
    <row r="32" spans="1:9" x14ac:dyDescent="0.2">
      <c r="A32">
        <v>43178.602500000001</v>
      </c>
      <c r="B32" t="s">
        <v>153</v>
      </c>
      <c r="C32" s="5">
        <v>44285</v>
      </c>
      <c r="D32" t="s">
        <v>122</v>
      </c>
      <c r="E32">
        <v>0</v>
      </c>
      <c r="F32">
        <v>7.3308479999999995E-2</v>
      </c>
      <c r="G32">
        <v>0</v>
      </c>
      <c r="H32">
        <v>3165.35752215</v>
      </c>
      <c r="I32">
        <v>3165.35752215</v>
      </c>
    </row>
    <row r="33" spans="1:9" x14ac:dyDescent="0.2">
      <c r="A33">
        <v>27907.259612639999</v>
      </c>
      <c r="B33" t="s">
        <v>154</v>
      </c>
      <c r="C33" s="5">
        <v>44037</v>
      </c>
      <c r="D33" t="s">
        <v>124</v>
      </c>
      <c r="E33">
        <v>0</v>
      </c>
      <c r="F33">
        <v>1.506068E-2</v>
      </c>
      <c r="G33">
        <v>0</v>
      </c>
      <c r="H33">
        <v>420.30241181999997</v>
      </c>
      <c r="I33">
        <v>420.30241181999997</v>
      </c>
    </row>
    <row r="34" spans="1:9" x14ac:dyDescent="0.2">
      <c r="A34">
        <v>27158.080989999999</v>
      </c>
      <c r="B34" t="s">
        <v>154</v>
      </c>
      <c r="C34" s="5">
        <v>44037</v>
      </c>
      <c r="D34" t="s">
        <v>124</v>
      </c>
      <c r="E34">
        <v>0</v>
      </c>
      <c r="F34">
        <v>1.506068E-2</v>
      </c>
      <c r="G34">
        <v>0</v>
      </c>
      <c r="H34">
        <v>409.01926950000001</v>
      </c>
      <c r="I34">
        <v>409.01926950000001</v>
      </c>
    </row>
    <row r="35" spans="1:9" x14ac:dyDescent="0.2">
      <c r="A35">
        <v>28014.6594</v>
      </c>
      <c r="B35" t="s">
        <v>154</v>
      </c>
      <c r="C35" s="5">
        <v>44037</v>
      </c>
      <c r="D35" t="s">
        <v>152</v>
      </c>
      <c r="E35">
        <v>0</v>
      </c>
      <c r="F35">
        <v>1.506068E-2</v>
      </c>
      <c r="G35">
        <v>0</v>
      </c>
      <c r="H35">
        <v>421.91992605000002</v>
      </c>
      <c r="I35">
        <v>421.91992605000002</v>
      </c>
    </row>
    <row r="36" spans="1:9" x14ac:dyDescent="0.2">
      <c r="A36">
        <v>500000</v>
      </c>
      <c r="B36" t="s">
        <v>155</v>
      </c>
      <c r="C36" s="5">
        <v>44079</v>
      </c>
      <c r="D36" t="s">
        <v>150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">
      <c r="A37">
        <v>122127.4051</v>
      </c>
      <c r="B37" t="s">
        <v>155</v>
      </c>
      <c r="C37" s="5">
        <v>44188</v>
      </c>
      <c r="D37" t="s">
        <v>152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2">
      <c r="A38">
        <v>94108.443368430002</v>
      </c>
      <c r="B38" t="s">
        <v>155</v>
      </c>
      <c r="C38" s="5">
        <v>44228</v>
      </c>
      <c r="D38" t="s">
        <v>152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">
      <c r="A39">
        <v>534010.62119374005</v>
      </c>
      <c r="B39" t="s">
        <v>155</v>
      </c>
      <c r="C39" s="5">
        <v>44275</v>
      </c>
      <c r="D39" t="s">
        <v>152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">
      <c r="A40">
        <v>390000</v>
      </c>
      <c r="B40" t="s">
        <v>155</v>
      </c>
      <c r="C40" s="5">
        <v>44412</v>
      </c>
      <c r="D40" t="s">
        <v>152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">
      <c r="A41">
        <v>300266.83627597999</v>
      </c>
      <c r="B41" t="s">
        <v>155</v>
      </c>
      <c r="C41" s="5">
        <v>44413</v>
      </c>
      <c r="D41" t="s">
        <v>152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">
      <c r="A42">
        <v>15000</v>
      </c>
      <c r="B42" t="s">
        <v>156</v>
      </c>
      <c r="C42" s="5">
        <v>44242</v>
      </c>
      <c r="D42" t="s">
        <v>127</v>
      </c>
      <c r="E42">
        <v>0</v>
      </c>
      <c r="F42">
        <v>0.88992342000000002</v>
      </c>
      <c r="G42">
        <v>0</v>
      </c>
      <c r="H42">
        <v>13348.85132134</v>
      </c>
      <c r="I42">
        <v>13348.85132134</v>
      </c>
    </row>
    <row r="43" spans="1:9" x14ac:dyDescent="0.2">
      <c r="A43">
        <v>8249.8358025699999</v>
      </c>
      <c r="B43" t="s">
        <v>157</v>
      </c>
      <c r="C43" s="5">
        <v>44544</v>
      </c>
      <c r="D43" t="s">
        <v>158</v>
      </c>
      <c r="E43">
        <v>0</v>
      </c>
      <c r="F43">
        <v>0.87833055000000004</v>
      </c>
      <c r="G43">
        <v>0</v>
      </c>
      <c r="H43">
        <v>7246.0828443800001</v>
      </c>
      <c r="I43">
        <v>7246.0828443800001</v>
      </c>
    </row>
    <row r="44" spans="1:9" x14ac:dyDescent="0.2">
      <c r="A44">
        <v>100667.495157</v>
      </c>
      <c r="B44" t="s">
        <v>157</v>
      </c>
      <c r="C44" s="5">
        <v>44544</v>
      </c>
      <c r="D44" t="s">
        <v>152</v>
      </c>
      <c r="E44">
        <v>0</v>
      </c>
      <c r="F44">
        <v>0.87833055000000004</v>
      </c>
      <c r="G44">
        <v>0</v>
      </c>
      <c r="H44">
        <v>88419.336711709999</v>
      </c>
      <c r="I44">
        <v>88419.336711709999</v>
      </c>
    </row>
    <row r="45" spans="1:9" x14ac:dyDescent="0.2">
      <c r="A45">
        <v>27095</v>
      </c>
      <c r="B45" t="s">
        <v>157</v>
      </c>
      <c r="C45" s="5">
        <v>44550</v>
      </c>
      <c r="D45" t="s">
        <v>127</v>
      </c>
      <c r="E45">
        <v>0</v>
      </c>
      <c r="F45">
        <v>0.87833055000000004</v>
      </c>
      <c r="G45">
        <v>0</v>
      </c>
      <c r="H45">
        <v>23798.366339280001</v>
      </c>
      <c r="I45">
        <v>23798.366339280001</v>
      </c>
    </row>
    <row r="46" spans="1:9" x14ac:dyDescent="0.2">
      <c r="A46">
        <v>11000</v>
      </c>
      <c r="B46" t="s">
        <v>159</v>
      </c>
      <c r="C46" s="5">
        <v>44040</v>
      </c>
      <c r="D46" t="s">
        <v>152</v>
      </c>
      <c r="E46">
        <v>0</v>
      </c>
      <c r="F46">
        <v>1.085787E-2</v>
      </c>
      <c r="G46">
        <v>0</v>
      </c>
      <c r="H46">
        <v>119.43659133</v>
      </c>
      <c r="I46">
        <v>119.43659133</v>
      </c>
    </row>
    <row r="47" spans="1:9" x14ac:dyDescent="0.2">
      <c r="A47">
        <v>7.0000000000000007E-2</v>
      </c>
      <c r="B47" t="s">
        <v>160</v>
      </c>
      <c r="C47" s="5">
        <v>44484</v>
      </c>
      <c r="D47" t="s">
        <v>161</v>
      </c>
      <c r="E47">
        <v>0</v>
      </c>
      <c r="F47">
        <v>1.38659961</v>
      </c>
      <c r="G47">
        <v>0</v>
      </c>
      <c r="H47">
        <v>9.7061969999999997E-2</v>
      </c>
      <c r="I47">
        <v>9.7061969999999997E-2</v>
      </c>
    </row>
    <row r="48" spans="1:9" x14ac:dyDescent="0.2">
      <c r="A48">
        <v>358650</v>
      </c>
      <c r="B48" t="s">
        <v>162</v>
      </c>
      <c r="C48" s="5">
        <v>44381</v>
      </c>
      <c r="D48" t="s">
        <v>122</v>
      </c>
      <c r="E48">
        <v>0</v>
      </c>
      <c r="F48">
        <v>0.20615681999999999</v>
      </c>
      <c r="G48">
        <v>0</v>
      </c>
      <c r="H48">
        <v>73938.142361270002</v>
      </c>
      <c r="I48">
        <v>73938.142361270002</v>
      </c>
    </row>
    <row r="49" spans="1:9" x14ac:dyDescent="0.2">
      <c r="A49">
        <v>3001.5</v>
      </c>
      <c r="B49" t="s">
        <v>163</v>
      </c>
      <c r="C49" s="5">
        <v>44219</v>
      </c>
      <c r="D49" t="s">
        <v>152</v>
      </c>
      <c r="E49">
        <v>0</v>
      </c>
      <c r="F49">
        <v>9.2622662099999999</v>
      </c>
      <c r="G49">
        <v>0</v>
      </c>
      <c r="H49">
        <v>27800.692038230001</v>
      </c>
      <c r="I49">
        <v>27800.692038230001</v>
      </c>
    </row>
    <row r="50" spans="1:9" x14ac:dyDescent="0.2">
      <c r="A50">
        <v>166408.91906936999</v>
      </c>
      <c r="B50" t="s">
        <v>164</v>
      </c>
      <c r="C50" s="5">
        <v>44219</v>
      </c>
      <c r="D50" t="s">
        <v>152</v>
      </c>
      <c r="E50">
        <v>0</v>
      </c>
      <c r="F50">
        <v>4.7537759999999998E-2</v>
      </c>
      <c r="G50">
        <v>0</v>
      </c>
      <c r="H50">
        <v>7910.7064975499998</v>
      </c>
      <c r="I50">
        <v>7910.7064975499998</v>
      </c>
    </row>
    <row r="51" spans="1:9" x14ac:dyDescent="0.2">
      <c r="A51">
        <v>3525.9901420000001</v>
      </c>
      <c r="B51" t="s">
        <v>164</v>
      </c>
      <c r="C51" s="5">
        <v>44244</v>
      </c>
      <c r="D51" t="s">
        <v>124</v>
      </c>
      <c r="E51">
        <v>0</v>
      </c>
      <c r="F51">
        <v>4.7537759999999998E-2</v>
      </c>
      <c r="G51">
        <v>0</v>
      </c>
      <c r="H51">
        <v>167.61765704999999</v>
      </c>
      <c r="I51">
        <v>167.61765704999999</v>
      </c>
    </row>
    <row r="52" spans="1:9" x14ac:dyDescent="0.2">
      <c r="A52">
        <v>7088.9999980000002</v>
      </c>
      <c r="B52" t="s">
        <v>165</v>
      </c>
      <c r="C52" s="5">
        <v>44223</v>
      </c>
      <c r="D52" t="s">
        <v>166</v>
      </c>
      <c r="E52">
        <v>0</v>
      </c>
      <c r="F52">
        <v>0.12267937</v>
      </c>
      <c r="G52">
        <v>0</v>
      </c>
      <c r="H52">
        <v>869.67402598000001</v>
      </c>
      <c r="I52">
        <v>869.67402598000001</v>
      </c>
    </row>
    <row r="53" spans="1:9" x14ac:dyDescent="0.2">
      <c r="A53">
        <v>23.445912880000002</v>
      </c>
      <c r="B53" t="s">
        <v>167</v>
      </c>
      <c r="C53" s="5">
        <v>44207</v>
      </c>
      <c r="D53" t="s">
        <v>152</v>
      </c>
      <c r="E53">
        <v>0</v>
      </c>
      <c r="F53">
        <v>36.632975889999997</v>
      </c>
      <c r="G53">
        <v>0</v>
      </c>
      <c r="H53">
        <v>858.89356114999998</v>
      </c>
      <c r="I53">
        <v>858.89356114999998</v>
      </c>
    </row>
    <row r="54" spans="1:9" x14ac:dyDescent="0.2">
      <c r="A54">
        <v>737.35942352999996</v>
      </c>
      <c r="B54" t="s">
        <v>168</v>
      </c>
      <c r="C54" s="5">
        <v>44269</v>
      </c>
      <c r="D54" t="s">
        <v>152</v>
      </c>
      <c r="E54">
        <v>0</v>
      </c>
      <c r="F54">
        <v>2.0968637800000001</v>
      </c>
      <c r="G54">
        <v>0</v>
      </c>
      <c r="H54">
        <v>1546.14227024</v>
      </c>
      <c r="I54">
        <v>1546.14227024</v>
      </c>
    </row>
    <row r="55" spans="1:9" x14ac:dyDescent="0.2">
      <c r="A55">
        <v>750000</v>
      </c>
      <c r="B55" t="s">
        <v>169</v>
      </c>
      <c r="C55" s="5">
        <v>44285</v>
      </c>
      <c r="D55" t="s">
        <v>122</v>
      </c>
      <c r="E55">
        <v>0</v>
      </c>
      <c r="F55">
        <v>0.18682467999999999</v>
      </c>
      <c r="G55">
        <v>0</v>
      </c>
      <c r="H55">
        <v>140118.51166943999</v>
      </c>
      <c r="I55">
        <v>140118.51166943999</v>
      </c>
    </row>
    <row r="56" spans="1:9" x14ac:dyDescent="0.2">
      <c r="A56">
        <v>588235</v>
      </c>
      <c r="B56" t="s">
        <v>170</v>
      </c>
      <c r="C56" s="5">
        <v>44234</v>
      </c>
      <c r="D56" t="s">
        <v>152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2">
      <c r="A57">
        <v>1000</v>
      </c>
      <c r="B57" t="s">
        <v>171</v>
      </c>
      <c r="C57" s="5">
        <v>44393</v>
      </c>
      <c r="D57" t="s">
        <v>172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2">
      <c r="A58">
        <v>3.0000000000000001E-5</v>
      </c>
      <c r="B58" t="s">
        <v>173</v>
      </c>
      <c r="C58" s="5">
        <v>44151</v>
      </c>
      <c r="D58" t="s">
        <v>152</v>
      </c>
      <c r="E58">
        <v>0</v>
      </c>
      <c r="F58">
        <v>2.0350899999999998E-3</v>
      </c>
      <c r="G58">
        <v>0</v>
      </c>
      <c r="H58">
        <v>5.9999999999999995E-8</v>
      </c>
      <c r="I58">
        <v>5.9999999999999995E-8</v>
      </c>
    </row>
    <row r="59" spans="1:9" x14ac:dyDescent="0.2">
      <c r="A59">
        <v>43089.2</v>
      </c>
      <c r="B59" t="s">
        <v>174</v>
      </c>
      <c r="C59" s="5">
        <v>44288</v>
      </c>
      <c r="D59" t="s">
        <v>152</v>
      </c>
      <c r="E59">
        <v>0</v>
      </c>
      <c r="F59">
        <v>5.109201E-2</v>
      </c>
      <c r="G59">
        <v>0</v>
      </c>
      <c r="H59">
        <v>2201.5137195000002</v>
      </c>
      <c r="I59">
        <v>2201.5137195000002</v>
      </c>
    </row>
    <row r="60" spans="1:9" x14ac:dyDescent="0.2">
      <c r="A60">
        <v>266807.5</v>
      </c>
      <c r="B60" t="s">
        <v>174</v>
      </c>
      <c r="C60" s="5">
        <v>44288</v>
      </c>
      <c r="D60" t="s">
        <v>139</v>
      </c>
      <c r="E60">
        <v>0</v>
      </c>
      <c r="F60">
        <v>5.109201E-2</v>
      </c>
      <c r="G60">
        <v>0</v>
      </c>
      <c r="H60">
        <v>13631.730728709999</v>
      </c>
      <c r="I60">
        <v>13631.730728709999</v>
      </c>
    </row>
    <row r="61" spans="1:9" x14ac:dyDescent="0.2">
      <c r="A61">
        <v>400</v>
      </c>
      <c r="B61" t="s">
        <v>174</v>
      </c>
      <c r="C61" s="5">
        <v>44328</v>
      </c>
      <c r="D61" t="s">
        <v>139</v>
      </c>
      <c r="E61">
        <v>0</v>
      </c>
      <c r="F61">
        <v>5.109201E-2</v>
      </c>
      <c r="G61">
        <v>0</v>
      </c>
      <c r="H61">
        <v>20.436802910000001</v>
      </c>
      <c r="I61">
        <v>20.436802910000001</v>
      </c>
    </row>
    <row r="62" spans="1:9" x14ac:dyDescent="0.2">
      <c r="A62">
        <v>400</v>
      </c>
      <c r="B62" t="s">
        <v>174</v>
      </c>
      <c r="C62" s="5">
        <v>44328</v>
      </c>
      <c r="D62" t="s">
        <v>152</v>
      </c>
      <c r="E62">
        <v>0</v>
      </c>
      <c r="F62">
        <v>5.109201E-2</v>
      </c>
      <c r="G62">
        <v>0</v>
      </c>
      <c r="H62">
        <v>20.436802910000001</v>
      </c>
      <c r="I62">
        <v>20.436802910000001</v>
      </c>
    </row>
    <row r="63" spans="1:9" x14ac:dyDescent="0.2">
      <c r="A63">
        <v>50000</v>
      </c>
      <c r="B63" t="s">
        <v>175</v>
      </c>
      <c r="C63" s="5">
        <v>44293</v>
      </c>
      <c r="D63" t="s">
        <v>122</v>
      </c>
      <c r="E63">
        <v>0</v>
      </c>
      <c r="F63">
        <v>0.61999948000000005</v>
      </c>
      <c r="G63">
        <v>0</v>
      </c>
      <c r="H63">
        <v>30999.974170360001</v>
      </c>
      <c r="I63">
        <v>30999.974170360001</v>
      </c>
    </row>
    <row r="64" spans="1:9" x14ac:dyDescent="0.2">
      <c r="A64">
        <v>717948.7</v>
      </c>
      <c r="B64" t="s">
        <v>176</v>
      </c>
      <c r="C64" s="5">
        <v>44558</v>
      </c>
      <c r="D64" t="s">
        <v>122</v>
      </c>
      <c r="E64">
        <v>0</v>
      </c>
      <c r="F64">
        <v>0.13843496</v>
      </c>
      <c r="G64">
        <v>0</v>
      </c>
      <c r="H64">
        <v>99389.198247780005</v>
      </c>
      <c r="I64">
        <v>99389.198247780005</v>
      </c>
    </row>
    <row r="65" spans="1:9" x14ac:dyDescent="0.2">
      <c r="A65">
        <v>180000</v>
      </c>
      <c r="B65" t="s">
        <v>177</v>
      </c>
      <c r="C65" s="5">
        <v>44061</v>
      </c>
      <c r="D65" t="s">
        <v>147</v>
      </c>
      <c r="E65">
        <v>0</v>
      </c>
      <c r="F65">
        <v>0.39064922000000002</v>
      </c>
      <c r="G65">
        <v>0</v>
      </c>
      <c r="H65">
        <v>70316.859674959996</v>
      </c>
      <c r="I65">
        <v>70316.859674959996</v>
      </c>
    </row>
    <row r="66" spans="1:9" x14ac:dyDescent="0.2">
      <c r="A66">
        <v>11379.23864037</v>
      </c>
      <c r="B66" t="s">
        <v>178</v>
      </c>
      <c r="C66" s="5">
        <v>44068</v>
      </c>
      <c r="D66" t="s">
        <v>124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2">
      <c r="A67">
        <v>0.01</v>
      </c>
      <c r="B67" t="s">
        <v>178</v>
      </c>
      <c r="C67" s="5">
        <v>44068</v>
      </c>
      <c r="D67" t="s">
        <v>124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x14ac:dyDescent="0.2">
      <c r="A68">
        <v>4357.6837537199999</v>
      </c>
      <c r="B68" t="s">
        <v>179</v>
      </c>
      <c r="C68" s="5">
        <v>44120</v>
      </c>
      <c r="D68" t="s">
        <v>147</v>
      </c>
      <c r="E68">
        <v>0</v>
      </c>
      <c r="F68">
        <v>8.8237720000000006E-2</v>
      </c>
      <c r="G68">
        <v>0</v>
      </c>
      <c r="H68">
        <v>384.51206052999999</v>
      </c>
      <c r="I68">
        <v>384.51206052999999</v>
      </c>
    </row>
    <row r="69" spans="1:9" x14ac:dyDescent="0.2">
      <c r="A69">
        <v>4.0000000000000003E-5</v>
      </c>
      <c r="B69" t="s">
        <v>180</v>
      </c>
      <c r="C69" s="5">
        <v>44480</v>
      </c>
      <c r="D69" t="s">
        <v>161</v>
      </c>
      <c r="E69">
        <v>0</v>
      </c>
      <c r="F69">
        <v>0.76137973999999997</v>
      </c>
      <c r="G69">
        <v>0</v>
      </c>
      <c r="H69">
        <v>3.046E-5</v>
      </c>
      <c r="I69">
        <v>3.046E-5</v>
      </c>
    </row>
    <row r="70" spans="1:9" x14ac:dyDescent="0.2">
      <c r="A70">
        <v>7.8</v>
      </c>
      <c r="B70" t="s">
        <v>181</v>
      </c>
      <c r="C70" s="5">
        <v>44264</v>
      </c>
      <c r="D70" t="s">
        <v>150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2">
      <c r="A71">
        <v>21911.251925550001</v>
      </c>
      <c r="B71" t="s">
        <v>182</v>
      </c>
      <c r="C71" s="5">
        <v>44081</v>
      </c>
      <c r="D71" t="s">
        <v>152</v>
      </c>
      <c r="E71">
        <v>0</v>
      </c>
      <c r="F71">
        <v>5.1097730000000001E-2</v>
      </c>
      <c r="G71">
        <v>0</v>
      </c>
      <c r="H71">
        <v>1119.6151977</v>
      </c>
      <c r="I71">
        <v>1119.6151977</v>
      </c>
    </row>
    <row r="72" spans="1:9" x14ac:dyDescent="0.2">
      <c r="A72">
        <v>21939.200000000001</v>
      </c>
      <c r="B72" t="s">
        <v>183</v>
      </c>
      <c r="C72" s="5">
        <v>44193</v>
      </c>
      <c r="D72" t="s">
        <v>150</v>
      </c>
      <c r="E72">
        <v>0</v>
      </c>
      <c r="F72">
        <v>0.60531469999999998</v>
      </c>
      <c r="G72">
        <v>0</v>
      </c>
      <c r="H72">
        <v>13280.120182340001</v>
      </c>
      <c r="I72">
        <v>13280.120182340001</v>
      </c>
    </row>
    <row r="73" spans="1:9" x14ac:dyDescent="0.2">
      <c r="A73">
        <v>5800</v>
      </c>
      <c r="B73" t="s">
        <v>183</v>
      </c>
      <c r="C73" s="5">
        <v>44194</v>
      </c>
      <c r="D73" t="s">
        <v>184</v>
      </c>
      <c r="E73">
        <v>0</v>
      </c>
      <c r="F73">
        <v>0.60531469999999998</v>
      </c>
      <c r="G73">
        <v>0</v>
      </c>
      <c r="H73">
        <v>3510.82523782</v>
      </c>
      <c r="I73">
        <v>3510.82523782</v>
      </c>
    </row>
    <row r="74" spans="1:9" x14ac:dyDescent="0.2">
      <c r="A74">
        <v>2900</v>
      </c>
      <c r="B74" t="s">
        <v>183</v>
      </c>
      <c r="C74" s="5">
        <v>44195</v>
      </c>
      <c r="D74" t="s">
        <v>184</v>
      </c>
      <c r="E74">
        <v>0</v>
      </c>
      <c r="F74">
        <v>0.60531469999999998</v>
      </c>
      <c r="G74">
        <v>0</v>
      </c>
      <c r="H74">
        <v>1755.41261891</v>
      </c>
      <c r="I74">
        <v>1755.41261891</v>
      </c>
    </row>
    <row r="75" spans="1:9" x14ac:dyDescent="0.2">
      <c r="A75">
        <v>2900</v>
      </c>
      <c r="B75" t="s">
        <v>183</v>
      </c>
      <c r="C75" s="5">
        <v>44196</v>
      </c>
      <c r="D75" t="s">
        <v>184</v>
      </c>
      <c r="E75">
        <v>0</v>
      </c>
      <c r="F75">
        <v>0.60531469999999998</v>
      </c>
      <c r="G75">
        <v>0</v>
      </c>
      <c r="H75">
        <v>1755.41261891</v>
      </c>
      <c r="I75">
        <v>1755.41261891</v>
      </c>
    </row>
    <row r="76" spans="1:9" x14ac:dyDescent="0.2">
      <c r="A76">
        <v>2900</v>
      </c>
      <c r="B76" t="s">
        <v>183</v>
      </c>
      <c r="C76" s="5">
        <v>44197</v>
      </c>
      <c r="D76" t="s">
        <v>184</v>
      </c>
      <c r="E76">
        <v>0</v>
      </c>
      <c r="F76">
        <v>0.60531469999999998</v>
      </c>
      <c r="G76">
        <v>0</v>
      </c>
      <c r="H76">
        <v>1755.41261891</v>
      </c>
      <c r="I76">
        <v>1755.41261891</v>
      </c>
    </row>
    <row r="77" spans="1:9" x14ac:dyDescent="0.2">
      <c r="A77">
        <v>5800</v>
      </c>
      <c r="B77" t="s">
        <v>183</v>
      </c>
      <c r="C77" s="5">
        <v>44198</v>
      </c>
      <c r="D77" t="s">
        <v>184</v>
      </c>
      <c r="E77">
        <v>0</v>
      </c>
      <c r="F77">
        <v>0.60531469999999998</v>
      </c>
      <c r="G77">
        <v>0</v>
      </c>
      <c r="H77">
        <v>3510.82523782</v>
      </c>
      <c r="I77">
        <v>3510.82523782</v>
      </c>
    </row>
    <row r="78" spans="1:9" x14ac:dyDescent="0.2">
      <c r="A78">
        <v>2900</v>
      </c>
      <c r="B78" t="s">
        <v>183</v>
      </c>
      <c r="C78" s="5">
        <v>44199</v>
      </c>
      <c r="D78" t="s">
        <v>184</v>
      </c>
      <c r="E78">
        <v>0</v>
      </c>
      <c r="F78">
        <v>0.60531469999999998</v>
      </c>
      <c r="G78">
        <v>0</v>
      </c>
      <c r="H78">
        <v>1755.41261891</v>
      </c>
      <c r="I78">
        <v>1755.41261891</v>
      </c>
    </row>
    <row r="79" spans="1:9" x14ac:dyDescent="0.2">
      <c r="A79">
        <v>2900</v>
      </c>
      <c r="B79" t="s">
        <v>183</v>
      </c>
      <c r="C79" s="5">
        <v>44200</v>
      </c>
      <c r="D79" t="s">
        <v>184</v>
      </c>
      <c r="E79">
        <v>0</v>
      </c>
      <c r="F79">
        <v>0.60531469999999998</v>
      </c>
      <c r="G79">
        <v>0</v>
      </c>
      <c r="H79">
        <v>1755.41261891</v>
      </c>
      <c r="I79">
        <v>1755.41261891</v>
      </c>
    </row>
    <row r="80" spans="1:9" x14ac:dyDescent="0.2">
      <c r="A80">
        <v>2900</v>
      </c>
      <c r="B80" t="s">
        <v>183</v>
      </c>
      <c r="C80" s="5">
        <v>44201</v>
      </c>
      <c r="D80" t="s">
        <v>184</v>
      </c>
      <c r="E80">
        <v>0</v>
      </c>
      <c r="F80">
        <v>0.60531469999999998</v>
      </c>
      <c r="G80">
        <v>0</v>
      </c>
      <c r="H80">
        <v>1755.41261891</v>
      </c>
      <c r="I80">
        <v>1755.41261891</v>
      </c>
    </row>
    <row r="81" spans="1:9" x14ac:dyDescent="0.2">
      <c r="A81">
        <v>2900</v>
      </c>
      <c r="B81" t="s">
        <v>183</v>
      </c>
      <c r="C81" s="5">
        <v>44203</v>
      </c>
      <c r="D81" t="s">
        <v>184</v>
      </c>
      <c r="E81">
        <v>0</v>
      </c>
      <c r="F81">
        <v>0.60531469999999998</v>
      </c>
      <c r="G81">
        <v>0</v>
      </c>
      <c r="H81">
        <v>1755.41261891</v>
      </c>
      <c r="I81">
        <v>1755.41261891</v>
      </c>
    </row>
    <row r="82" spans="1:9" x14ac:dyDescent="0.2">
      <c r="A82">
        <v>2900</v>
      </c>
      <c r="B82" t="s">
        <v>183</v>
      </c>
      <c r="C82" s="5">
        <v>44204</v>
      </c>
      <c r="D82" t="s">
        <v>184</v>
      </c>
      <c r="E82">
        <v>0</v>
      </c>
      <c r="F82">
        <v>0.60531469999999998</v>
      </c>
      <c r="G82">
        <v>0</v>
      </c>
      <c r="H82">
        <v>1755.41261891</v>
      </c>
      <c r="I82">
        <v>1755.41261891</v>
      </c>
    </row>
    <row r="83" spans="1:9" x14ac:dyDescent="0.2">
      <c r="A83">
        <v>2900</v>
      </c>
      <c r="B83" t="s">
        <v>183</v>
      </c>
      <c r="C83" s="5">
        <v>44206</v>
      </c>
      <c r="D83" t="s">
        <v>184</v>
      </c>
      <c r="E83">
        <v>0</v>
      </c>
      <c r="F83">
        <v>0.60531469999999998</v>
      </c>
      <c r="G83">
        <v>0</v>
      </c>
      <c r="H83">
        <v>1755.41261891</v>
      </c>
      <c r="I83">
        <v>1755.41261891</v>
      </c>
    </row>
    <row r="84" spans="1:9" x14ac:dyDescent="0.2">
      <c r="A84">
        <v>2900</v>
      </c>
      <c r="B84" t="s">
        <v>183</v>
      </c>
      <c r="C84" s="5">
        <v>44210</v>
      </c>
      <c r="D84" t="s">
        <v>184</v>
      </c>
      <c r="E84">
        <v>0</v>
      </c>
      <c r="F84">
        <v>0.60531469999999998</v>
      </c>
      <c r="G84">
        <v>0</v>
      </c>
      <c r="H84">
        <v>1755.41261891</v>
      </c>
      <c r="I84">
        <v>1755.41261891</v>
      </c>
    </row>
    <row r="85" spans="1:9" x14ac:dyDescent="0.2">
      <c r="A85">
        <v>5800</v>
      </c>
      <c r="B85" t="s">
        <v>183</v>
      </c>
      <c r="C85" s="5">
        <v>44211</v>
      </c>
      <c r="D85" t="s">
        <v>184</v>
      </c>
      <c r="E85">
        <v>0</v>
      </c>
      <c r="F85">
        <v>0.60531469999999998</v>
      </c>
      <c r="G85">
        <v>0</v>
      </c>
      <c r="H85">
        <v>3510.82523782</v>
      </c>
      <c r="I85">
        <v>3510.82523782</v>
      </c>
    </row>
    <row r="86" spans="1:9" x14ac:dyDescent="0.2">
      <c r="A86">
        <v>5800</v>
      </c>
      <c r="B86" t="s">
        <v>183</v>
      </c>
      <c r="C86" s="5">
        <v>44221</v>
      </c>
      <c r="D86" t="s">
        <v>184</v>
      </c>
      <c r="E86">
        <v>0</v>
      </c>
      <c r="F86">
        <v>0.60531469999999998</v>
      </c>
      <c r="G86">
        <v>0</v>
      </c>
      <c r="H86">
        <v>3510.82523782</v>
      </c>
      <c r="I86">
        <v>3510.82523782</v>
      </c>
    </row>
    <row r="87" spans="1:9" x14ac:dyDescent="0.2">
      <c r="A87">
        <v>2900</v>
      </c>
      <c r="B87" t="s">
        <v>183</v>
      </c>
      <c r="C87" s="5">
        <v>44223</v>
      </c>
      <c r="D87" t="s">
        <v>184</v>
      </c>
      <c r="E87">
        <v>0</v>
      </c>
      <c r="F87">
        <v>0.60531469999999998</v>
      </c>
      <c r="G87">
        <v>0</v>
      </c>
      <c r="H87">
        <v>1755.41261891</v>
      </c>
      <c r="I87">
        <v>1755.41261891</v>
      </c>
    </row>
    <row r="88" spans="1:9" x14ac:dyDescent="0.2">
      <c r="A88">
        <v>2900</v>
      </c>
      <c r="B88" t="s">
        <v>183</v>
      </c>
      <c r="C88" s="5">
        <v>44225</v>
      </c>
      <c r="D88" t="s">
        <v>184</v>
      </c>
      <c r="E88">
        <v>0</v>
      </c>
      <c r="F88">
        <v>0.60531469999999998</v>
      </c>
      <c r="G88">
        <v>0</v>
      </c>
      <c r="H88">
        <v>1755.41261891</v>
      </c>
      <c r="I88">
        <v>1755.41261891</v>
      </c>
    </row>
    <row r="89" spans="1:9" x14ac:dyDescent="0.2">
      <c r="A89">
        <v>2900</v>
      </c>
      <c r="B89" t="s">
        <v>183</v>
      </c>
      <c r="C89" s="5">
        <v>44240</v>
      </c>
      <c r="D89" t="s">
        <v>184</v>
      </c>
      <c r="E89">
        <v>0</v>
      </c>
      <c r="F89">
        <v>0.60531469999999998</v>
      </c>
      <c r="G89">
        <v>0</v>
      </c>
      <c r="H89">
        <v>1755.41261891</v>
      </c>
      <c r="I89">
        <v>1755.41261891</v>
      </c>
    </row>
    <row r="90" spans="1:9" x14ac:dyDescent="0.2">
      <c r="A90">
        <v>2900</v>
      </c>
      <c r="B90" t="s">
        <v>183</v>
      </c>
      <c r="C90" s="5">
        <v>44242</v>
      </c>
      <c r="D90" t="s">
        <v>184</v>
      </c>
      <c r="E90">
        <v>0</v>
      </c>
      <c r="F90">
        <v>0.60531469999999998</v>
      </c>
      <c r="G90">
        <v>0</v>
      </c>
      <c r="H90">
        <v>1755.41261891</v>
      </c>
      <c r="I90">
        <v>1755.41261891</v>
      </c>
    </row>
    <row r="91" spans="1:9" x14ac:dyDescent="0.2">
      <c r="A91">
        <v>2900</v>
      </c>
      <c r="B91" t="s">
        <v>183</v>
      </c>
      <c r="C91" s="5">
        <v>44252</v>
      </c>
      <c r="D91" t="s">
        <v>184</v>
      </c>
      <c r="E91">
        <v>0</v>
      </c>
      <c r="F91">
        <v>0.60531469999999998</v>
      </c>
      <c r="G91">
        <v>0</v>
      </c>
      <c r="H91">
        <v>1755.41261891</v>
      </c>
      <c r="I91">
        <v>1755.41261891</v>
      </c>
    </row>
    <row r="92" spans="1:9" x14ac:dyDescent="0.2">
      <c r="A92">
        <v>2900</v>
      </c>
      <c r="B92" t="s">
        <v>183</v>
      </c>
      <c r="C92" s="5">
        <v>44262</v>
      </c>
      <c r="D92" t="s">
        <v>184</v>
      </c>
      <c r="E92">
        <v>0</v>
      </c>
      <c r="F92">
        <v>0.60531469999999998</v>
      </c>
      <c r="G92">
        <v>0</v>
      </c>
      <c r="H92">
        <v>1755.41261891</v>
      </c>
      <c r="I92">
        <v>1755.41261891</v>
      </c>
    </row>
    <row r="93" spans="1:9" x14ac:dyDescent="0.2">
      <c r="A93">
        <v>2900</v>
      </c>
      <c r="B93" t="s">
        <v>183</v>
      </c>
      <c r="C93" s="5">
        <v>44270</v>
      </c>
      <c r="D93" t="s">
        <v>184</v>
      </c>
      <c r="E93">
        <v>0</v>
      </c>
      <c r="F93">
        <v>0.60531469999999998</v>
      </c>
      <c r="G93">
        <v>0</v>
      </c>
      <c r="H93">
        <v>1755.41261891</v>
      </c>
      <c r="I93">
        <v>1755.41261891</v>
      </c>
    </row>
    <row r="94" spans="1:9" x14ac:dyDescent="0.2">
      <c r="A94">
        <v>2900</v>
      </c>
      <c r="B94" t="s">
        <v>183</v>
      </c>
      <c r="C94" s="5">
        <v>44292</v>
      </c>
      <c r="D94" t="s">
        <v>184</v>
      </c>
      <c r="E94">
        <v>0</v>
      </c>
      <c r="F94">
        <v>0.60531469999999998</v>
      </c>
      <c r="G94">
        <v>0</v>
      </c>
      <c r="H94">
        <v>1755.41261891</v>
      </c>
      <c r="I94">
        <v>1755.41261891</v>
      </c>
    </row>
    <row r="95" spans="1:9" x14ac:dyDescent="0.2">
      <c r="A95">
        <v>2900</v>
      </c>
      <c r="B95" t="s">
        <v>183</v>
      </c>
      <c r="C95" s="5">
        <v>44315</v>
      </c>
      <c r="D95" t="s">
        <v>184</v>
      </c>
      <c r="E95">
        <v>0</v>
      </c>
      <c r="F95">
        <v>0.60531469999999998</v>
      </c>
      <c r="G95">
        <v>0</v>
      </c>
      <c r="H95">
        <v>1755.41261891</v>
      </c>
      <c r="I95">
        <v>1755.41261891</v>
      </c>
    </row>
    <row r="96" spans="1:9" x14ac:dyDescent="0.2">
      <c r="A96">
        <v>7.5490000000000004</v>
      </c>
      <c r="B96" t="s">
        <v>185</v>
      </c>
      <c r="C96" s="5">
        <v>44526</v>
      </c>
      <c r="D96" t="s">
        <v>141</v>
      </c>
      <c r="E96">
        <v>0</v>
      </c>
      <c r="F96">
        <v>0.87770751999999996</v>
      </c>
      <c r="G96">
        <v>0</v>
      </c>
      <c r="H96">
        <v>6.6258141000000004</v>
      </c>
      <c r="I96">
        <v>6.6258141000000004</v>
      </c>
    </row>
    <row r="97" spans="1:9" x14ac:dyDescent="0.2">
      <c r="A97">
        <v>200</v>
      </c>
      <c r="B97" t="s">
        <v>186</v>
      </c>
      <c r="C97" s="5">
        <v>44061</v>
      </c>
      <c r="D97" t="s">
        <v>187</v>
      </c>
      <c r="E97">
        <v>0</v>
      </c>
      <c r="F97">
        <v>1.15205593</v>
      </c>
      <c r="G97">
        <v>0</v>
      </c>
      <c r="H97">
        <v>230.41118691</v>
      </c>
      <c r="I97">
        <v>230.41118691</v>
      </c>
    </row>
    <row r="98" spans="1:9" x14ac:dyDescent="0.2">
      <c r="A98">
        <v>146.08149521000001</v>
      </c>
      <c r="B98" t="s">
        <v>188</v>
      </c>
      <c r="C98" s="5">
        <v>44214</v>
      </c>
      <c r="D98" t="s">
        <v>152</v>
      </c>
      <c r="E98">
        <v>0</v>
      </c>
      <c r="F98">
        <v>0.87707239000000004</v>
      </c>
      <c r="G98">
        <v>0</v>
      </c>
      <c r="H98">
        <v>128.12404663000001</v>
      </c>
      <c r="I98">
        <v>128.12404663000001</v>
      </c>
    </row>
    <row r="99" spans="1:9" x14ac:dyDescent="0.2">
      <c r="A99">
        <v>853.91850479000004</v>
      </c>
      <c r="B99" t="s">
        <v>188</v>
      </c>
      <c r="C99" s="5">
        <v>44458</v>
      </c>
      <c r="D99" t="s">
        <v>189</v>
      </c>
      <c r="E99">
        <v>0</v>
      </c>
      <c r="F99">
        <v>0.87707239000000004</v>
      </c>
      <c r="G99">
        <v>0</v>
      </c>
      <c r="H99">
        <v>748.94834671000001</v>
      </c>
      <c r="I99">
        <v>748.94834671000001</v>
      </c>
    </row>
    <row r="100" spans="1:9" x14ac:dyDescent="0.2">
      <c r="A100">
        <v>1500</v>
      </c>
      <c r="B100" t="s">
        <v>188</v>
      </c>
      <c r="C100" s="5">
        <v>44512</v>
      </c>
      <c r="D100" t="s">
        <v>184</v>
      </c>
      <c r="E100">
        <v>0</v>
      </c>
      <c r="F100">
        <v>0.87707239000000004</v>
      </c>
      <c r="G100">
        <v>0</v>
      </c>
      <c r="H100">
        <v>1315.60859</v>
      </c>
      <c r="I100">
        <v>1315.60859</v>
      </c>
    </row>
    <row r="101" spans="1:9" x14ac:dyDescent="0.2">
      <c r="A101">
        <v>697.3503518</v>
      </c>
      <c r="B101" t="s">
        <v>190</v>
      </c>
      <c r="C101" s="5">
        <v>44252</v>
      </c>
      <c r="D101" t="s">
        <v>166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">
      <c r="A102">
        <v>1508.97</v>
      </c>
      <c r="B102" t="s">
        <v>191</v>
      </c>
      <c r="C102" s="5">
        <v>44472</v>
      </c>
      <c r="D102" t="s">
        <v>122</v>
      </c>
      <c r="E102">
        <v>0</v>
      </c>
      <c r="F102">
        <v>3.61128E-2</v>
      </c>
      <c r="G102">
        <v>0</v>
      </c>
      <c r="H102">
        <v>54.493132209999999</v>
      </c>
      <c r="I102">
        <v>54.493132209999999</v>
      </c>
    </row>
    <row r="103" spans="1:9" x14ac:dyDescent="0.2">
      <c r="A103">
        <v>1</v>
      </c>
      <c r="B103" t="s">
        <v>192</v>
      </c>
      <c r="C103" s="5">
        <v>44531</v>
      </c>
      <c r="D103" t="s">
        <v>139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">
      <c r="A104">
        <v>3679.9504737900002</v>
      </c>
      <c r="B104" t="s">
        <v>193</v>
      </c>
      <c r="C104" s="5">
        <v>44247</v>
      </c>
      <c r="D104" t="s">
        <v>152</v>
      </c>
      <c r="E104">
        <v>0</v>
      </c>
      <c r="F104">
        <v>2.0071795799999999</v>
      </c>
      <c r="G104">
        <v>0</v>
      </c>
      <c r="H104">
        <v>7386.3214281299997</v>
      </c>
      <c r="I104">
        <v>7386.3214281299997</v>
      </c>
    </row>
    <row r="105" spans="1:9" x14ac:dyDescent="0.2">
      <c r="A105">
        <v>169491</v>
      </c>
      <c r="B105" t="s">
        <v>194</v>
      </c>
      <c r="C105" s="5">
        <v>44300</v>
      </c>
      <c r="D105" t="s">
        <v>127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">
      <c r="A106">
        <v>62500</v>
      </c>
      <c r="B106" t="s">
        <v>195</v>
      </c>
      <c r="C106" s="5">
        <v>44315</v>
      </c>
      <c r="D106" t="s">
        <v>122</v>
      </c>
      <c r="E106">
        <v>0</v>
      </c>
      <c r="F106">
        <v>6.1412080000000001E-2</v>
      </c>
      <c r="G106">
        <v>0</v>
      </c>
      <c r="H106">
        <v>3838.25490218</v>
      </c>
      <c r="I106">
        <v>3838.25490218</v>
      </c>
    </row>
    <row r="107" spans="1:9" x14ac:dyDescent="0.2">
      <c r="A107">
        <v>4.1632700000000002E-2</v>
      </c>
      <c r="B107" t="s">
        <v>196</v>
      </c>
      <c r="C107" s="5">
        <v>44049</v>
      </c>
      <c r="D107" t="s">
        <v>152</v>
      </c>
      <c r="E107">
        <v>0</v>
      </c>
      <c r="F107">
        <v>32.663214109999998</v>
      </c>
      <c r="G107">
        <v>0</v>
      </c>
      <c r="H107">
        <v>1.35985779</v>
      </c>
      <c r="I107">
        <v>1.35985779</v>
      </c>
    </row>
    <row r="108" spans="1:9" x14ac:dyDescent="0.2">
      <c r="A108">
        <v>3.8399370000000002E-2</v>
      </c>
      <c r="B108" t="s">
        <v>196</v>
      </c>
      <c r="C108" s="5">
        <v>44050</v>
      </c>
      <c r="D108" t="s">
        <v>152</v>
      </c>
      <c r="E108">
        <v>0</v>
      </c>
      <c r="F108">
        <v>32.663214109999998</v>
      </c>
      <c r="G108">
        <v>0</v>
      </c>
      <c r="H108">
        <v>1.25424684</v>
      </c>
      <c r="I108">
        <v>1.25424684</v>
      </c>
    </row>
    <row r="109" spans="1:9" x14ac:dyDescent="0.2">
      <c r="A109">
        <v>4.3357970000000003E-2</v>
      </c>
      <c r="B109" t="s">
        <v>196</v>
      </c>
      <c r="C109" s="5">
        <v>44051</v>
      </c>
      <c r="D109" t="s">
        <v>152</v>
      </c>
      <c r="E109">
        <v>0</v>
      </c>
      <c r="F109">
        <v>32.663214109999998</v>
      </c>
      <c r="G109">
        <v>0</v>
      </c>
      <c r="H109">
        <v>1.41621066</v>
      </c>
      <c r="I109">
        <v>1.41621066</v>
      </c>
    </row>
    <row r="110" spans="1:9" x14ac:dyDescent="0.2">
      <c r="A110">
        <v>1.4244349999999999E-2</v>
      </c>
      <c r="B110" t="s">
        <v>196</v>
      </c>
      <c r="C110" s="5">
        <v>44055</v>
      </c>
      <c r="D110" t="s">
        <v>152</v>
      </c>
      <c r="E110">
        <v>0</v>
      </c>
      <c r="F110">
        <v>32.663214109999998</v>
      </c>
      <c r="G110">
        <v>0</v>
      </c>
      <c r="H110">
        <v>0.46526624999999999</v>
      </c>
      <c r="I110">
        <v>0.46526624999999999</v>
      </c>
    </row>
    <row r="111" spans="1:9" x14ac:dyDescent="0.2">
      <c r="A111">
        <v>1.410227E-2</v>
      </c>
      <c r="B111" t="s">
        <v>196</v>
      </c>
      <c r="C111" s="5">
        <v>44056</v>
      </c>
      <c r="D111" t="s">
        <v>152</v>
      </c>
      <c r="E111">
        <v>0</v>
      </c>
      <c r="F111">
        <v>32.663214109999998</v>
      </c>
      <c r="G111">
        <v>0</v>
      </c>
      <c r="H111">
        <v>0.46062545999999999</v>
      </c>
      <c r="I111">
        <v>0.46062545999999999</v>
      </c>
    </row>
    <row r="112" spans="1:9" x14ac:dyDescent="0.2">
      <c r="A112">
        <v>2.626933E-2</v>
      </c>
      <c r="B112" t="s">
        <v>196</v>
      </c>
      <c r="C112" s="5">
        <v>44057</v>
      </c>
      <c r="D112" t="s">
        <v>152</v>
      </c>
      <c r="E112">
        <v>0</v>
      </c>
      <c r="F112">
        <v>32.663214109999998</v>
      </c>
      <c r="G112">
        <v>0</v>
      </c>
      <c r="H112">
        <v>0.85804075000000002</v>
      </c>
      <c r="I112">
        <v>0.85804075000000002</v>
      </c>
    </row>
    <row r="113" spans="1:9" x14ac:dyDescent="0.2">
      <c r="A113">
        <v>3.5130219999999997E-2</v>
      </c>
      <c r="B113" t="s">
        <v>196</v>
      </c>
      <c r="C113" s="5">
        <v>44058</v>
      </c>
      <c r="D113" t="s">
        <v>152</v>
      </c>
      <c r="E113">
        <v>0</v>
      </c>
      <c r="F113">
        <v>32.663214109999998</v>
      </c>
      <c r="G113">
        <v>0</v>
      </c>
      <c r="H113">
        <v>1.1474659</v>
      </c>
      <c r="I113">
        <v>1.1474659</v>
      </c>
    </row>
    <row r="114" spans="1:9" x14ac:dyDescent="0.2">
      <c r="A114">
        <v>2.9923229999999999E-2</v>
      </c>
      <c r="B114" t="s">
        <v>196</v>
      </c>
      <c r="C114" s="5">
        <v>44059</v>
      </c>
      <c r="D114" t="s">
        <v>152</v>
      </c>
      <c r="E114">
        <v>0</v>
      </c>
      <c r="F114">
        <v>32.663214109999998</v>
      </c>
      <c r="G114">
        <v>0</v>
      </c>
      <c r="H114">
        <v>0.97738886999999997</v>
      </c>
      <c r="I114">
        <v>0.97738886999999997</v>
      </c>
    </row>
    <row r="115" spans="1:9" x14ac:dyDescent="0.2">
      <c r="A115">
        <v>6.5916400000000002E-3</v>
      </c>
      <c r="B115" t="s">
        <v>196</v>
      </c>
      <c r="C115" s="5">
        <v>44060</v>
      </c>
      <c r="D115" t="s">
        <v>152</v>
      </c>
      <c r="E115">
        <v>0</v>
      </c>
      <c r="F115">
        <v>32.663214109999998</v>
      </c>
      <c r="G115">
        <v>0</v>
      </c>
      <c r="H115">
        <v>0.21530415</v>
      </c>
      <c r="I115">
        <v>0.21530415</v>
      </c>
    </row>
    <row r="116" spans="1:9" x14ac:dyDescent="0.2">
      <c r="A116">
        <v>5.23399E-3</v>
      </c>
      <c r="B116" t="s">
        <v>196</v>
      </c>
      <c r="C116" s="5">
        <v>44067</v>
      </c>
      <c r="D116" t="s">
        <v>152</v>
      </c>
      <c r="E116">
        <v>0</v>
      </c>
      <c r="F116">
        <v>32.663214109999998</v>
      </c>
      <c r="G116">
        <v>0</v>
      </c>
      <c r="H116">
        <v>0.17095894</v>
      </c>
      <c r="I116">
        <v>0.17095894</v>
      </c>
    </row>
    <row r="117" spans="1:9" x14ac:dyDescent="0.2">
      <c r="A117">
        <v>7.8593940000000001E-2</v>
      </c>
      <c r="B117" t="s">
        <v>196</v>
      </c>
      <c r="C117" s="5">
        <v>44099</v>
      </c>
      <c r="D117" t="s">
        <v>152</v>
      </c>
      <c r="E117">
        <v>0</v>
      </c>
      <c r="F117">
        <v>32.663214109999998</v>
      </c>
      <c r="G117">
        <v>0</v>
      </c>
      <c r="H117">
        <v>2.5671306899999999</v>
      </c>
      <c r="I117">
        <v>2.5671306899999999</v>
      </c>
    </row>
    <row r="118" spans="1:9" x14ac:dyDescent="0.2">
      <c r="A118">
        <v>4400</v>
      </c>
      <c r="B118" t="s">
        <v>197</v>
      </c>
      <c r="C118" s="5">
        <v>44197</v>
      </c>
      <c r="D118" t="s">
        <v>152</v>
      </c>
      <c r="E118">
        <v>0</v>
      </c>
      <c r="F118">
        <v>0</v>
      </c>
      <c r="G118">
        <v>0</v>
      </c>
      <c r="H118">
        <v>0</v>
      </c>
      <c r="I118">
        <v>0</v>
      </c>
    </row>
    <row r="119" spans="1:9" x14ac:dyDescent="0.2">
      <c r="A119">
        <v>0.26869999999999999</v>
      </c>
      <c r="B119" t="s">
        <v>198</v>
      </c>
      <c r="C119" s="5">
        <v>44233</v>
      </c>
      <c r="D119" t="s">
        <v>152</v>
      </c>
      <c r="E119">
        <v>0</v>
      </c>
      <c r="F119">
        <v>0.22519272000000001</v>
      </c>
      <c r="G119">
        <v>0</v>
      </c>
      <c r="H119">
        <v>6.0509279999999999E-2</v>
      </c>
      <c r="I119">
        <v>6.0509279999999999E-2</v>
      </c>
    </row>
    <row r="120" spans="1:9" x14ac:dyDescent="0.2">
      <c r="A120">
        <v>1.35</v>
      </c>
      <c r="B120" t="s">
        <v>199</v>
      </c>
      <c r="C120" s="5">
        <v>44349</v>
      </c>
      <c r="D120" t="s">
        <v>150</v>
      </c>
      <c r="E120">
        <v>0</v>
      </c>
      <c r="F120">
        <v>56.105053290000001</v>
      </c>
      <c r="G120">
        <v>0</v>
      </c>
      <c r="H120">
        <v>75.741821939999994</v>
      </c>
      <c r="I120">
        <v>75.741821939999994</v>
      </c>
    </row>
    <row r="121" spans="1:9" x14ac:dyDescent="0.2">
      <c r="A121">
        <v>2222.2222219999999</v>
      </c>
      <c r="B121" t="s">
        <v>200</v>
      </c>
      <c r="C121" s="5">
        <v>44393</v>
      </c>
      <c r="D121" t="s">
        <v>129</v>
      </c>
      <c r="E121">
        <v>0</v>
      </c>
      <c r="F121">
        <v>6.4575320000000005E-2</v>
      </c>
      <c r="G121">
        <v>0</v>
      </c>
      <c r="H121">
        <v>143.50070826000001</v>
      </c>
      <c r="I121">
        <v>143.50070826000001</v>
      </c>
    </row>
    <row r="122" spans="1:9" x14ac:dyDescent="0.2">
      <c r="A122">
        <v>1</v>
      </c>
      <c r="B122" t="s">
        <v>201</v>
      </c>
      <c r="C122" s="5">
        <v>44552</v>
      </c>
      <c r="D122" t="s">
        <v>122</v>
      </c>
      <c r="E122">
        <v>0</v>
      </c>
      <c r="F122">
        <v>1.2300000000000001E-6</v>
      </c>
      <c r="G122">
        <v>0</v>
      </c>
      <c r="H122">
        <v>1.2300000000000001E-6</v>
      </c>
      <c r="I122">
        <v>1.2300000000000001E-6</v>
      </c>
    </row>
    <row r="123" spans="1:9" x14ac:dyDescent="0.2">
      <c r="A123">
        <v>11.4519003</v>
      </c>
      <c r="B123" t="s">
        <v>202</v>
      </c>
      <c r="C123" s="5">
        <v>44048</v>
      </c>
      <c r="D123" t="s">
        <v>203</v>
      </c>
      <c r="E123">
        <v>0</v>
      </c>
      <c r="F123">
        <v>4.3313340900000004</v>
      </c>
      <c r="G123">
        <v>0</v>
      </c>
      <c r="H123">
        <v>49.602006160000002</v>
      </c>
      <c r="I123">
        <v>49.602006160000002</v>
      </c>
    </row>
    <row r="124" spans="1:9" x14ac:dyDescent="0.2">
      <c r="A124">
        <v>326</v>
      </c>
      <c r="B124" t="s">
        <v>204</v>
      </c>
      <c r="C124" s="5">
        <v>44232</v>
      </c>
      <c r="D124" t="s">
        <v>150</v>
      </c>
      <c r="E124">
        <v>0</v>
      </c>
      <c r="F124">
        <v>2.955588E-2</v>
      </c>
      <c r="G124">
        <v>0</v>
      </c>
      <c r="H124">
        <v>9.6352181399999992</v>
      </c>
      <c r="I124">
        <v>9.6352181399999992</v>
      </c>
    </row>
    <row r="125" spans="1:9" x14ac:dyDescent="0.2">
      <c r="A125">
        <v>19000</v>
      </c>
      <c r="B125" t="s">
        <v>205</v>
      </c>
      <c r="C125" s="5">
        <v>44300</v>
      </c>
      <c r="D125" t="s">
        <v>127</v>
      </c>
      <c r="E125">
        <v>0</v>
      </c>
      <c r="F125">
        <v>0.55969780999999996</v>
      </c>
      <c r="G125">
        <v>0</v>
      </c>
      <c r="H125">
        <v>10634.258424199999</v>
      </c>
      <c r="I125">
        <v>10634.258424199999</v>
      </c>
    </row>
    <row r="126" spans="1:9" x14ac:dyDescent="0.2">
      <c r="A126">
        <v>74675.100000000006</v>
      </c>
      <c r="B126" t="s">
        <v>206</v>
      </c>
      <c r="C126" s="5">
        <v>44326</v>
      </c>
      <c r="D126" t="s">
        <v>122</v>
      </c>
      <c r="E126">
        <v>0</v>
      </c>
      <c r="F126">
        <v>0.42173252</v>
      </c>
      <c r="G126">
        <v>0</v>
      </c>
      <c r="H126">
        <v>31492.91780662</v>
      </c>
      <c r="I126">
        <v>31492.91780662</v>
      </c>
    </row>
    <row r="127" spans="1:9" x14ac:dyDescent="0.2">
      <c r="A127">
        <v>357143</v>
      </c>
      <c r="B127" t="s">
        <v>206</v>
      </c>
      <c r="C127" s="5">
        <v>44432</v>
      </c>
      <c r="D127" t="s">
        <v>122</v>
      </c>
      <c r="E127">
        <v>0</v>
      </c>
      <c r="F127">
        <v>0.42173252</v>
      </c>
      <c r="G127">
        <v>0</v>
      </c>
      <c r="H127">
        <v>150618.81596691001</v>
      </c>
      <c r="I127">
        <v>150618.81596691001</v>
      </c>
    </row>
    <row r="128" spans="1:9" x14ac:dyDescent="0.2">
      <c r="A128">
        <v>86.721367950000001</v>
      </c>
      <c r="B128" t="s">
        <v>207</v>
      </c>
      <c r="C128" s="5">
        <v>44527</v>
      </c>
      <c r="D128" t="s">
        <v>150</v>
      </c>
      <c r="E128">
        <v>0</v>
      </c>
      <c r="F128">
        <v>1.8494487399999999</v>
      </c>
      <c r="G128">
        <v>0</v>
      </c>
      <c r="H128">
        <v>160.38672502</v>
      </c>
      <c r="I128">
        <v>160.38672502</v>
      </c>
    </row>
    <row r="129" spans="1:9" x14ac:dyDescent="0.2">
      <c r="A129">
        <v>2.5334522000000002</v>
      </c>
      <c r="B129" t="s">
        <v>207</v>
      </c>
      <c r="C129" s="5">
        <v>44528</v>
      </c>
      <c r="D129" t="s">
        <v>150</v>
      </c>
      <c r="E129">
        <v>0</v>
      </c>
      <c r="F129">
        <v>1.8494487399999999</v>
      </c>
      <c r="G129">
        <v>0</v>
      </c>
      <c r="H129">
        <v>4.6854899899999998</v>
      </c>
      <c r="I129">
        <v>4.6854899899999998</v>
      </c>
    </row>
    <row r="130" spans="1:9" x14ac:dyDescent="0.2">
      <c r="A130">
        <v>1959.59222514</v>
      </c>
      <c r="B130" t="s">
        <v>208</v>
      </c>
      <c r="C130" s="5">
        <v>44535</v>
      </c>
      <c r="D130" t="s">
        <v>139</v>
      </c>
      <c r="E130">
        <v>0</v>
      </c>
      <c r="F130">
        <v>3.45E-6</v>
      </c>
      <c r="G130">
        <v>0</v>
      </c>
      <c r="H130">
        <v>6.7539799999999997E-3</v>
      </c>
      <c r="I130">
        <v>6.7539799999999997E-3</v>
      </c>
    </row>
    <row r="131" spans="1:9" x14ac:dyDescent="0.2">
      <c r="A131">
        <v>360000</v>
      </c>
      <c r="B131" t="s">
        <v>208</v>
      </c>
      <c r="C131" s="5">
        <v>44535</v>
      </c>
      <c r="D131" t="s">
        <v>152</v>
      </c>
      <c r="E131">
        <v>0</v>
      </c>
      <c r="F131">
        <v>3.45E-6</v>
      </c>
      <c r="G131">
        <v>0</v>
      </c>
      <c r="H131">
        <v>1.24078471</v>
      </c>
      <c r="I131">
        <v>1.24078471</v>
      </c>
    </row>
    <row r="132" spans="1:9" x14ac:dyDescent="0.2">
      <c r="A132">
        <v>28902.725910000001</v>
      </c>
      <c r="B132" t="s">
        <v>208</v>
      </c>
      <c r="C132" s="5">
        <v>44536</v>
      </c>
      <c r="D132" t="s">
        <v>139</v>
      </c>
      <c r="E132">
        <v>0</v>
      </c>
      <c r="F132">
        <v>3.45E-6</v>
      </c>
      <c r="G132">
        <v>0</v>
      </c>
      <c r="H132">
        <v>9.9616830000000003E-2</v>
      </c>
      <c r="I132">
        <v>9.9616830000000003E-2</v>
      </c>
    </row>
    <row r="133" spans="1:9" x14ac:dyDescent="0.2">
      <c r="A133">
        <v>79016.716060000006</v>
      </c>
      <c r="B133" t="s">
        <v>208</v>
      </c>
      <c r="C133" s="5">
        <v>44537</v>
      </c>
      <c r="D133" t="s">
        <v>139</v>
      </c>
      <c r="E133">
        <v>0</v>
      </c>
      <c r="F133">
        <v>3.45E-6</v>
      </c>
      <c r="G133">
        <v>0</v>
      </c>
      <c r="H133">
        <v>0.27234091999999999</v>
      </c>
      <c r="I133">
        <v>0.27234091999999999</v>
      </c>
    </row>
    <row r="134" spans="1:9" x14ac:dyDescent="0.2">
      <c r="A134">
        <v>104976.2859</v>
      </c>
      <c r="B134" t="s">
        <v>208</v>
      </c>
      <c r="C134" s="5">
        <v>44540</v>
      </c>
      <c r="D134" t="s">
        <v>139</v>
      </c>
      <c r="E134">
        <v>0</v>
      </c>
      <c r="F134">
        <v>3.45E-6</v>
      </c>
      <c r="G134">
        <v>0</v>
      </c>
      <c r="H134">
        <v>0.36181381000000001</v>
      </c>
      <c r="I134">
        <v>0.36181381000000001</v>
      </c>
    </row>
    <row r="135" spans="1:9" x14ac:dyDescent="0.2">
      <c r="A135">
        <v>90906.093510000006</v>
      </c>
      <c r="B135" t="s">
        <v>208</v>
      </c>
      <c r="C135" s="5">
        <v>44544</v>
      </c>
      <c r="D135" t="s">
        <v>139</v>
      </c>
      <c r="E135">
        <v>0</v>
      </c>
      <c r="F135">
        <v>3.45E-6</v>
      </c>
      <c r="G135">
        <v>0</v>
      </c>
      <c r="H135">
        <v>0.31331914</v>
      </c>
      <c r="I135">
        <v>0.31331914</v>
      </c>
    </row>
    <row r="136" spans="1:9" x14ac:dyDescent="0.2">
      <c r="A136">
        <v>158334.79999999999</v>
      </c>
      <c r="B136" t="s">
        <v>209</v>
      </c>
      <c r="C136" s="5">
        <v>44110</v>
      </c>
      <c r="D136" t="s">
        <v>124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x14ac:dyDescent="0.2">
      <c r="A137">
        <v>27777.77</v>
      </c>
      <c r="B137" t="s">
        <v>210</v>
      </c>
      <c r="C137" s="5">
        <v>44286</v>
      </c>
      <c r="D137" t="s">
        <v>122</v>
      </c>
      <c r="E137">
        <v>0</v>
      </c>
      <c r="F137">
        <v>3.6340690000000002E-2</v>
      </c>
      <c r="G137">
        <v>0</v>
      </c>
      <c r="H137">
        <v>1009.46341247</v>
      </c>
      <c r="I137">
        <v>1009.46341247</v>
      </c>
    </row>
    <row r="138" spans="1:9" x14ac:dyDescent="0.2">
      <c r="A138">
        <v>0.16</v>
      </c>
      <c r="B138" t="s">
        <v>211</v>
      </c>
      <c r="C138" s="5">
        <v>44233</v>
      </c>
      <c r="D138" t="s">
        <v>150</v>
      </c>
      <c r="E138">
        <v>0</v>
      </c>
      <c r="F138">
        <v>1.19312387</v>
      </c>
      <c r="G138">
        <v>0</v>
      </c>
      <c r="H138">
        <v>0.19089982</v>
      </c>
      <c r="I138">
        <v>0.19089982</v>
      </c>
    </row>
    <row r="139" spans="1:9" x14ac:dyDescent="0.2">
      <c r="A139">
        <v>2415</v>
      </c>
      <c r="B139" t="s">
        <v>212</v>
      </c>
      <c r="C139" s="5">
        <v>43916</v>
      </c>
      <c r="D139" t="s">
        <v>161</v>
      </c>
      <c r="E139">
        <v>0</v>
      </c>
      <c r="F139">
        <v>5.1977357199999998</v>
      </c>
      <c r="G139">
        <v>0</v>
      </c>
      <c r="H139">
        <v>12552.531760510001</v>
      </c>
      <c r="I139">
        <v>12552.531760510001</v>
      </c>
    </row>
    <row r="140" spans="1:9" x14ac:dyDescent="0.2">
      <c r="A140">
        <v>250000</v>
      </c>
      <c r="B140" t="s">
        <v>213</v>
      </c>
      <c r="C140" s="5">
        <v>44257</v>
      </c>
      <c r="D140" t="s">
        <v>150</v>
      </c>
      <c r="E140">
        <v>0</v>
      </c>
      <c r="F140">
        <v>5.5821889999999999E-2</v>
      </c>
      <c r="G140">
        <v>0</v>
      </c>
      <c r="H140">
        <v>13955.47251723</v>
      </c>
      <c r="I140">
        <v>13955.47251723</v>
      </c>
    </row>
    <row r="141" spans="1:9" x14ac:dyDescent="0.2">
      <c r="A141">
        <v>444444</v>
      </c>
      <c r="B141" t="s">
        <v>214</v>
      </c>
      <c r="C141" s="5">
        <v>44484</v>
      </c>
      <c r="D141" t="s">
        <v>147</v>
      </c>
      <c r="E141">
        <v>0</v>
      </c>
      <c r="F141">
        <v>0.10959421</v>
      </c>
      <c r="G141">
        <v>0</v>
      </c>
      <c r="H141">
        <v>48708.487865700001</v>
      </c>
      <c r="I141">
        <v>48708.487865700001</v>
      </c>
    </row>
    <row r="142" spans="1:9" x14ac:dyDescent="0.2">
      <c r="A142">
        <v>2564.1025639999998</v>
      </c>
      <c r="B142" t="s">
        <v>215</v>
      </c>
      <c r="C142" s="5">
        <v>44426</v>
      </c>
      <c r="D142" t="s">
        <v>129</v>
      </c>
      <c r="E142">
        <v>0</v>
      </c>
      <c r="F142">
        <v>9.7076949999999995E-2</v>
      </c>
      <c r="G142">
        <v>0</v>
      </c>
      <c r="H142">
        <v>248.91524554</v>
      </c>
      <c r="I142">
        <v>248.91524554</v>
      </c>
    </row>
    <row r="143" spans="1:9" x14ac:dyDescent="0.2">
      <c r="A143">
        <v>4.45E-3</v>
      </c>
      <c r="B143" t="s">
        <v>216</v>
      </c>
      <c r="C143" s="5">
        <v>44079</v>
      </c>
      <c r="D143" t="s">
        <v>147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2">
      <c r="A144">
        <v>1.9999999999999999E-7</v>
      </c>
      <c r="B144" t="s">
        <v>217</v>
      </c>
      <c r="C144" s="5">
        <v>44090</v>
      </c>
      <c r="D144" t="s">
        <v>147</v>
      </c>
      <c r="E144">
        <v>0</v>
      </c>
      <c r="F144">
        <v>8.5886999999999997E-4</v>
      </c>
      <c r="G144">
        <v>0</v>
      </c>
      <c r="H144">
        <v>0</v>
      </c>
      <c r="I144">
        <v>0</v>
      </c>
    </row>
    <row r="145" spans="1:9" x14ac:dyDescent="0.2">
      <c r="A145">
        <v>50000</v>
      </c>
      <c r="B145" t="s">
        <v>218</v>
      </c>
      <c r="C145" s="5">
        <v>44308</v>
      </c>
      <c r="D145" t="s">
        <v>122</v>
      </c>
      <c r="E145">
        <v>0</v>
      </c>
      <c r="F145">
        <v>1.047466E-2</v>
      </c>
      <c r="G145">
        <v>0</v>
      </c>
      <c r="H145">
        <v>523.73288180999998</v>
      </c>
      <c r="I145">
        <v>523.73288180999998</v>
      </c>
    </row>
    <row r="146" spans="1:9" x14ac:dyDescent="0.2">
      <c r="A146">
        <v>83333.33</v>
      </c>
      <c r="B146" t="s">
        <v>219</v>
      </c>
      <c r="C146" s="5">
        <v>44315</v>
      </c>
      <c r="D146" t="s">
        <v>122</v>
      </c>
      <c r="E146">
        <v>0</v>
      </c>
      <c r="F146">
        <v>2.6585959999999999E-2</v>
      </c>
      <c r="G146">
        <v>0</v>
      </c>
      <c r="H146">
        <v>2215.4968667899998</v>
      </c>
      <c r="I146">
        <v>2215.4968667899998</v>
      </c>
    </row>
    <row r="147" spans="1:9" x14ac:dyDescent="0.2">
      <c r="A147">
        <v>90090.09</v>
      </c>
      <c r="B147" t="s">
        <v>220</v>
      </c>
      <c r="C147" s="5">
        <v>44307</v>
      </c>
      <c r="D147" t="s">
        <v>129</v>
      </c>
      <c r="E147">
        <v>0</v>
      </c>
      <c r="F147">
        <v>1.2111830000000001E-2</v>
      </c>
      <c r="G147">
        <v>0</v>
      </c>
      <c r="H147">
        <v>1091.15605392</v>
      </c>
      <c r="I147">
        <v>1091.15605392</v>
      </c>
    </row>
    <row r="148" spans="1:9" x14ac:dyDescent="0.2">
      <c r="A148">
        <v>5046045467.2840118</v>
      </c>
      <c r="B148" t="s">
        <v>221</v>
      </c>
      <c r="C148" s="5">
        <v>44330</v>
      </c>
      <c r="D148" t="s">
        <v>158</v>
      </c>
      <c r="E148">
        <v>0</v>
      </c>
      <c r="F148">
        <v>8.0000000000000002E-8</v>
      </c>
      <c r="G148">
        <v>0</v>
      </c>
      <c r="H148">
        <v>392.28130290000001</v>
      </c>
      <c r="I148">
        <v>392.28130290000001</v>
      </c>
    </row>
    <row r="149" spans="1:9" x14ac:dyDescent="0.2">
      <c r="A149">
        <v>61324.47</v>
      </c>
      <c r="B149" t="s">
        <v>222</v>
      </c>
      <c r="C149" s="5">
        <v>44459</v>
      </c>
      <c r="D149" t="s">
        <v>223</v>
      </c>
      <c r="E149">
        <v>0</v>
      </c>
      <c r="F149">
        <v>0.88024015</v>
      </c>
      <c r="G149">
        <v>0</v>
      </c>
      <c r="H149">
        <v>53980.260691750002</v>
      </c>
      <c r="I149">
        <v>53980.260691750002</v>
      </c>
    </row>
    <row r="150" spans="1:9" x14ac:dyDescent="0.2">
      <c r="A150">
        <v>1000</v>
      </c>
      <c r="B150" t="s">
        <v>222</v>
      </c>
      <c r="C150" s="5">
        <v>44475</v>
      </c>
      <c r="D150" t="s">
        <v>127</v>
      </c>
      <c r="E150">
        <v>0</v>
      </c>
      <c r="F150">
        <v>0.88024015</v>
      </c>
      <c r="G150">
        <v>0</v>
      </c>
      <c r="H150">
        <v>880.24015033000001</v>
      </c>
      <c r="I150">
        <v>880.24015033000001</v>
      </c>
    </row>
    <row r="151" spans="1:9" x14ac:dyDescent="0.2">
      <c r="A151">
        <v>90000</v>
      </c>
      <c r="B151" t="s">
        <v>222</v>
      </c>
      <c r="C151" s="5">
        <v>44499</v>
      </c>
      <c r="D151" t="s">
        <v>122</v>
      </c>
      <c r="E151">
        <v>0</v>
      </c>
      <c r="F151">
        <v>0.88024015</v>
      </c>
      <c r="G151">
        <v>0</v>
      </c>
      <c r="H151">
        <v>79221.613529769995</v>
      </c>
      <c r="I151">
        <v>79221.613529769995</v>
      </c>
    </row>
    <row r="152" spans="1:9" x14ac:dyDescent="0.2">
      <c r="A152">
        <v>10000</v>
      </c>
      <c r="B152" t="s">
        <v>222</v>
      </c>
      <c r="C152" s="5">
        <v>44519</v>
      </c>
      <c r="D152" t="s">
        <v>122</v>
      </c>
      <c r="E152">
        <v>0</v>
      </c>
      <c r="F152">
        <v>0.88024015</v>
      </c>
      <c r="G152">
        <v>0</v>
      </c>
      <c r="H152">
        <v>8802.4015033100004</v>
      </c>
      <c r="I152">
        <v>8802.4015033100004</v>
      </c>
    </row>
    <row r="153" spans="1:9" x14ac:dyDescent="0.2">
      <c r="A153">
        <v>665.70818759999997</v>
      </c>
      <c r="B153" t="s">
        <v>224</v>
      </c>
      <c r="C153" s="5">
        <v>44141</v>
      </c>
      <c r="D153" t="s">
        <v>124</v>
      </c>
      <c r="E153">
        <v>0</v>
      </c>
      <c r="F153">
        <v>3.0275200000000001E-3</v>
      </c>
      <c r="G153">
        <v>0</v>
      </c>
      <c r="H153">
        <v>2.0154480399999999</v>
      </c>
      <c r="I153">
        <v>2.0154480399999999</v>
      </c>
    </row>
    <row r="154" spans="1:9" x14ac:dyDescent="0.2">
      <c r="A154">
        <v>155.82081460000001</v>
      </c>
      <c r="B154" t="s">
        <v>224</v>
      </c>
      <c r="C154" s="5">
        <v>44141</v>
      </c>
      <c r="D154" t="s">
        <v>152</v>
      </c>
      <c r="E154">
        <v>0</v>
      </c>
      <c r="F154">
        <v>3.0275200000000001E-3</v>
      </c>
      <c r="G154">
        <v>0</v>
      </c>
      <c r="H154">
        <v>0.47175138</v>
      </c>
      <c r="I154">
        <v>0.47175138</v>
      </c>
    </row>
    <row r="155" spans="1:9" x14ac:dyDescent="0.2">
      <c r="A155">
        <v>106.31479989</v>
      </c>
      <c r="B155" t="s">
        <v>225</v>
      </c>
      <c r="C155" s="5">
        <v>44509</v>
      </c>
      <c r="D155" t="s">
        <v>145</v>
      </c>
      <c r="E155">
        <v>0</v>
      </c>
      <c r="F155">
        <v>2.22602477</v>
      </c>
      <c r="G155">
        <v>0</v>
      </c>
      <c r="H155">
        <v>236.65937815000001</v>
      </c>
      <c r="I155">
        <v>236.65937815000001</v>
      </c>
    </row>
    <row r="156" spans="1:9" x14ac:dyDescent="0.2">
      <c r="A156">
        <v>0.29659999999999997</v>
      </c>
      <c r="B156" t="s">
        <v>226</v>
      </c>
      <c r="C156" s="5">
        <v>44470</v>
      </c>
      <c r="D156" t="s">
        <v>227</v>
      </c>
      <c r="E156">
        <v>0</v>
      </c>
      <c r="F156">
        <v>3.8314810399999999</v>
      </c>
      <c r="G156">
        <v>0</v>
      </c>
      <c r="H156">
        <v>1.1364172800000001</v>
      </c>
      <c r="I156">
        <v>1.1364172800000001</v>
      </c>
    </row>
    <row r="157" spans="1:9" x14ac:dyDescent="0.2">
      <c r="A157">
        <v>1.29E-2</v>
      </c>
      <c r="B157" t="s">
        <v>226</v>
      </c>
      <c r="C157" s="5">
        <v>44477</v>
      </c>
      <c r="D157" t="s">
        <v>227</v>
      </c>
      <c r="E157">
        <v>0</v>
      </c>
      <c r="F157">
        <v>3.8314810399999999</v>
      </c>
      <c r="G157">
        <v>0</v>
      </c>
      <c r="H157">
        <v>4.9426110000000002E-2</v>
      </c>
      <c r="I157">
        <v>4.9426110000000002E-2</v>
      </c>
    </row>
    <row r="158" spans="1:9" x14ac:dyDescent="0.2">
      <c r="A158">
        <v>1.29E-2</v>
      </c>
      <c r="B158" t="s">
        <v>226</v>
      </c>
      <c r="C158" s="5">
        <v>44484</v>
      </c>
      <c r="D158" t="s">
        <v>227</v>
      </c>
      <c r="E158">
        <v>0</v>
      </c>
      <c r="F158">
        <v>3.8314810399999999</v>
      </c>
      <c r="G158">
        <v>0</v>
      </c>
      <c r="H158">
        <v>4.9426110000000002E-2</v>
      </c>
      <c r="I158">
        <v>4.9426110000000002E-2</v>
      </c>
    </row>
    <row r="159" spans="1:9" x14ac:dyDescent="0.2">
      <c r="A159">
        <v>1.29E-2</v>
      </c>
      <c r="B159" t="s">
        <v>226</v>
      </c>
      <c r="C159" s="5">
        <v>44491</v>
      </c>
      <c r="D159" t="s">
        <v>227</v>
      </c>
      <c r="E159">
        <v>0</v>
      </c>
      <c r="F159">
        <v>3.8314810399999999</v>
      </c>
      <c r="G159">
        <v>0</v>
      </c>
      <c r="H159">
        <v>4.9426110000000002E-2</v>
      </c>
      <c r="I159">
        <v>4.9426110000000002E-2</v>
      </c>
    </row>
    <row r="160" spans="1:9" x14ac:dyDescent="0.2">
      <c r="A160">
        <v>1.29E-2</v>
      </c>
      <c r="B160" t="s">
        <v>226</v>
      </c>
      <c r="C160" s="5">
        <v>44498</v>
      </c>
      <c r="D160" t="s">
        <v>227</v>
      </c>
      <c r="E160">
        <v>0</v>
      </c>
      <c r="F160">
        <v>3.8314810399999999</v>
      </c>
      <c r="G160">
        <v>0</v>
      </c>
      <c r="H160">
        <v>4.9426110000000002E-2</v>
      </c>
      <c r="I160">
        <v>4.9426110000000002E-2</v>
      </c>
    </row>
    <row r="161" spans="1:9" x14ac:dyDescent="0.2">
      <c r="A161">
        <v>1.29E-2</v>
      </c>
      <c r="B161" t="s">
        <v>226</v>
      </c>
      <c r="C161" s="5">
        <v>44505</v>
      </c>
      <c r="D161" t="s">
        <v>227</v>
      </c>
      <c r="E161">
        <v>0</v>
      </c>
      <c r="F161">
        <v>3.8314810399999999</v>
      </c>
      <c r="G161">
        <v>0</v>
      </c>
      <c r="H161">
        <v>4.9426110000000002E-2</v>
      </c>
      <c r="I161">
        <v>4.9426110000000002E-2</v>
      </c>
    </row>
    <row r="162" spans="1:9" x14ac:dyDescent="0.2">
      <c r="A162">
        <v>1.29E-2</v>
      </c>
      <c r="B162" t="s">
        <v>226</v>
      </c>
      <c r="C162" s="5">
        <v>44512</v>
      </c>
      <c r="D162" t="s">
        <v>227</v>
      </c>
      <c r="E162">
        <v>0</v>
      </c>
      <c r="F162">
        <v>3.8314810399999999</v>
      </c>
      <c r="G162">
        <v>0</v>
      </c>
      <c r="H162">
        <v>4.9426110000000002E-2</v>
      </c>
      <c r="I162">
        <v>4.9426110000000002E-2</v>
      </c>
    </row>
    <row r="163" spans="1:9" x14ac:dyDescent="0.2">
      <c r="A163">
        <v>1.2999999999999999E-2</v>
      </c>
      <c r="B163" t="s">
        <v>226</v>
      </c>
      <c r="C163" s="5">
        <v>44519</v>
      </c>
      <c r="D163" t="s">
        <v>227</v>
      </c>
      <c r="E163">
        <v>0</v>
      </c>
      <c r="F163">
        <v>3.8314810399999999</v>
      </c>
      <c r="G163">
        <v>0</v>
      </c>
      <c r="H163">
        <v>4.9809249999999999E-2</v>
      </c>
      <c r="I163">
        <v>4.9809249999999999E-2</v>
      </c>
    </row>
    <row r="164" spans="1:9" x14ac:dyDescent="0.2">
      <c r="A164">
        <v>1.2999999999999999E-2</v>
      </c>
      <c r="B164" t="s">
        <v>226</v>
      </c>
      <c r="C164" s="5">
        <v>44526</v>
      </c>
      <c r="D164" t="s">
        <v>227</v>
      </c>
      <c r="E164">
        <v>0</v>
      </c>
      <c r="F164">
        <v>3.8314810399999999</v>
      </c>
      <c r="G164">
        <v>0</v>
      </c>
      <c r="H164">
        <v>4.9809249999999999E-2</v>
      </c>
      <c r="I164">
        <v>4.9809249999999999E-2</v>
      </c>
    </row>
    <row r="165" spans="1:9" x14ac:dyDescent="0.2">
      <c r="A165">
        <v>13.853</v>
      </c>
      <c r="B165" t="s">
        <v>226</v>
      </c>
      <c r="C165" s="5">
        <v>44531</v>
      </c>
      <c r="D165" t="s">
        <v>227</v>
      </c>
      <c r="E165">
        <v>0</v>
      </c>
      <c r="F165">
        <v>3.8314810399999999</v>
      </c>
      <c r="G165">
        <v>0</v>
      </c>
      <c r="H165">
        <v>53.07750686</v>
      </c>
      <c r="I165">
        <v>53.07750686</v>
      </c>
    </row>
    <row r="166" spans="1:9" x14ac:dyDescent="0.2">
      <c r="A166">
        <v>1.2999999999999999E-2</v>
      </c>
      <c r="B166" t="s">
        <v>226</v>
      </c>
      <c r="C166" s="5">
        <v>44533</v>
      </c>
      <c r="D166" t="s">
        <v>227</v>
      </c>
      <c r="E166">
        <v>0</v>
      </c>
      <c r="F166">
        <v>3.8314810399999999</v>
      </c>
      <c r="G166">
        <v>0</v>
      </c>
      <c r="H166">
        <v>4.9809249999999999E-2</v>
      </c>
      <c r="I166">
        <v>4.9809249999999999E-2</v>
      </c>
    </row>
    <row r="167" spans="1:9" x14ac:dyDescent="0.2">
      <c r="A167">
        <v>1.3599999999999999E-2</v>
      </c>
      <c r="B167" t="s">
        <v>226</v>
      </c>
      <c r="C167" s="5">
        <v>44540</v>
      </c>
      <c r="D167" t="s">
        <v>227</v>
      </c>
      <c r="E167">
        <v>0</v>
      </c>
      <c r="F167">
        <v>3.8314810399999999</v>
      </c>
      <c r="G167">
        <v>0</v>
      </c>
      <c r="H167">
        <v>5.2108139999999997E-2</v>
      </c>
      <c r="I167">
        <v>5.2108139999999997E-2</v>
      </c>
    </row>
    <row r="168" spans="1:9" x14ac:dyDescent="0.2">
      <c r="A168">
        <v>3.0999999999999999E-3</v>
      </c>
      <c r="B168" t="s">
        <v>226</v>
      </c>
      <c r="C168" s="5">
        <v>44547</v>
      </c>
      <c r="D168" t="s">
        <v>227</v>
      </c>
      <c r="E168">
        <v>0</v>
      </c>
      <c r="F168">
        <v>3.8314810399999999</v>
      </c>
      <c r="G168">
        <v>0</v>
      </c>
      <c r="H168">
        <v>1.187759E-2</v>
      </c>
      <c r="I168">
        <v>1.187759E-2</v>
      </c>
    </row>
    <row r="169" spans="1:9" x14ac:dyDescent="0.2">
      <c r="A169">
        <v>1188.8671628</v>
      </c>
      <c r="B169" t="s">
        <v>228</v>
      </c>
      <c r="C169" s="5">
        <v>44391</v>
      </c>
      <c r="D169" t="s">
        <v>150</v>
      </c>
      <c r="E169">
        <v>0</v>
      </c>
      <c r="F169">
        <v>0.87822283999999995</v>
      </c>
      <c r="G169">
        <v>0</v>
      </c>
      <c r="H169">
        <v>1044.09029622</v>
      </c>
      <c r="I169">
        <v>1044.09029622</v>
      </c>
    </row>
    <row r="170" spans="1:9" x14ac:dyDescent="0.2">
      <c r="A170">
        <v>10578.24156158</v>
      </c>
      <c r="B170" t="s">
        <v>228</v>
      </c>
      <c r="C170" s="5">
        <v>44463</v>
      </c>
      <c r="D170" t="s">
        <v>158</v>
      </c>
      <c r="E170">
        <v>0</v>
      </c>
      <c r="F170">
        <v>0.87822283999999995</v>
      </c>
      <c r="G170">
        <v>0</v>
      </c>
      <c r="H170">
        <v>9290.0533474799995</v>
      </c>
      <c r="I170">
        <v>9290.0533474799995</v>
      </c>
    </row>
    <row r="171" spans="1:9" x14ac:dyDescent="0.2">
      <c r="A171">
        <v>1762</v>
      </c>
      <c r="B171" t="s">
        <v>228</v>
      </c>
      <c r="C171" s="5">
        <v>44484</v>
      </c>
      <c r="D171" t="s">
        <v>150</v>
      </c>
      <c r="E171">
        <v>0</v>
      </c>
      <c r="F171">
        <v>0.87822283999999995</v>
      </c>
      <c r="G171">
        <v>0</v>
      </c>
      <c r="H171">
        <v>1547.4286442600001</v>
      </c>
      <c r="I171">
        <v>1547.4286442600001</v>
      </c>
    </row>
    <row r="172" spans="1:9" x14ac:dyDescent="0.2">
      <c r="A172">
        <v>2931.8777</v>
      </c>
      <c r="B172" t="s">
        <v>228</v>
      </c>
      <c r="C172" s="5">
        <v>44494</v>
      </c>
      <c r="D172" t="s">
        <v>150</v>
      </c>
      <c r="E172">
        <v>0</v>
      </c>
      <c r="F172">
        <v>0.87822283999999995</v>
      </c>
      <c r="G172">
        <v>0</v>
      </c>
      <c r="H172">
        <v>2574.8419605200002</v>
      </c>
      <c r="I172">
        <v>2574.8419605200002</v>
      </c>
    </row>
    <row r="173" spans="1:9" x14ac:dyDescent="0.2">
      <c r="A173">
        <v>1065.8829354500001</v>
      </c>
      <c r="B173" t="s">
        <v>228</v>
      </c>
      <c r="C173" s="5">
        <v>44514</v>
      </c>
      <c r="D173" t="s">
        <v>158</v>
      </c>
      <c r="E173">
        <v>0</v>
      </c>
      <c r="F173">
        <v>0.87822283999999995</v>
      </c>
      <c r="G173">
        <v>0</v>
      </c>
      <c r="H173">
        <v>936.08273879000001</v>
      </c>
      <c r="I173">
        <v>936.08273879000001</v>
      </c>
    </row>
    <row r="174" spans="1:9" x14ac:dyDescent="0.2">
      <c r="A174">
        <v>4893.7828112699999</v>
      </c>
      <c r="B174" t="s">
        <v>228</v>
      </c>
      <c r="C174" s="5">
        <v>44531</v>
      </c>
      <c r="D174" t="s">
        <v>158</v>
      </c>
      <c r="E174">
        <v>0</v>
      </c>
      <c r="F174">
        <v>0.87822283999999995</v>
      </c>
      <c r="G174">
        <v>0</v>
      </c>
      <c r="H174">
        <v>4297.8318393500003</v>
      </c>
      <c r="I174">
        <v>4297.8318393500003</v>
      </c>
    </row>
    <row r="175" spans="1:9" x14ac:dyDescent="0.2">
      <c r="A175">
        <v>9636.1696787199999</v>
      </c>
      <c r="B175" t="s">
        <v>228</v>
      </c>
      <c r="C175" s="5">
        <v>44540</v>
      </c>
      <c r="D175" t="s">
        <v>158</v>
      </c>
      <c r="E175">
        <v>0</v>
      </c>
      <c r="F175">
        <v>0.87822283999999995</v>
      </c>
      <c r="G175">
        <v>0</v>
      </c>
      <c r="H175">
        <v>8462.7043029399993</v>
      </c>
      <c r="I175">
        <v>8462.7043029399993</v>
      </c>
    </row>
    <row r="176" spans="1:9" x14ac:dyDescent="0.2">
      <c r="A176">
        <v>10477.131356710001</v>
      </c>
      <c r="B176" t="s">
        <v>228</v>
      </c>
      <c r="C176" s="5">
        <v>44552</v>
      </c>
      <c r="D176" t="s">
        <v>158</v>
      </c>
      <c r="E176">
        <v>0</v>
      </c>
      <c r="F176">
        <v>0.87822283999999995</v>
      </c>
      <c r="G176">
        <v>0</v>
      </c>
      <c r="H176">
        <v>9201.2560561999999</v>
      </c>
      <c r="I176">
        <v>9201.2560561999999</v>
      </c>
    </row>
    <row r="177" spans="1:9" x14ac:dyDescent="0.2">
      <c r="A177">
        <v>50000</v>
      </c>
      <c r="B177" t="s">
        <v>229</v>
      </c>
      <c r="C177" s="5">
        <v>44443</v>
      </c>
      <c r="D177" t="s">
        <v>122</v>
      </c>
      <c r="E177">
        <v>0</v>
      </c>
      <c r="F177">
        <v>1.4752824499999999</v>
      </c>
      <c r="G177">
        <v>0</v>
      </c>
      <c r="H177">
        <v>73764.122381809997</v>
      </c>
      <c r="I177">
        <v>73764.122381809997</v>
      </c>
    </row>
    <row r="178" spans="1:9" x14ac:dyDescent="0.2">
      <c r="A178">
        <v>33333.33</v>
      </c>
      <c r="B178" t="s">
        <v>230</v>
      </c>
      <c r="C178" s="5">
        <v>44305</v>
      </c>
      <c r="D178" t="s">
        <v>122</v>
      </c>
      <c r="E178">
        <v>0</v>
      </c>
      <c r="F178">
        <v>7.9011869999999998E-2</v>
      </c>
      <c r="G178">
        <v>0</v>
      </c>
      <c r="H178">
        <v>2633.7286027599998</v>
      </c>
      <c r="I178">
        <v>2633.7286027599998</v>
      </c>
    </row>
    <row r="179" spans="1:9" x14ac:dyDescent="0.2">
      <c r="A179">
        <v>89285.7</v>
      </c>
      <c r="B179" t="s">
        <v>231</v>
      </c>
      <c r="C179" s="5">
        <v>44473</v>
      </c>
      <c r="D179" t="s">
        <v>122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x14ac:dyDescent="0.2">
      <c r="A180">
        <v>20000</v>
      </c>
      <c r="B180" t="s">
        <v>232</v>
      </c>
      <c r="C180" s="5">
        <v>44489</v>
      </c>
      <c r="D180" t="s">
        <v>122</v>
      </c>
      <c r="E180">
        <v>0</v>
      </c>
      <c r="F180">
        <v>0.15173717</v>
      </c>
      <c r="G180">
        <v>0</v>
      </c>
      <c r="H180">
        <v>3034.7433111599998</v>
      </c>
      <c r="I180">
        <v>3034.7433111599998</v>
      </c>
    </row>
    <row r="181" spans="1:9" x14ac:dyDescent="0.2">
      <c r="A181">
        <v>4063090136.0476999</v>
      </c>
      <c r="B181" t="s">
        <v>233</v>
      </c>
      <c r="C181" s="5">
        <v>44514</v>
      </c>
      <c r="D181" t="s">
        <v>152</v>
      </c>
      <c r="E181">
        <v>0</v>
      </c>
      <c r="F181">
        <v>1.4000000000000001E-7</v>
      </c>
      <c r="G181">
        <v>0</v>
      </c>
      <c r="H181">
        <v>549.04459810000003</v>
      </c>
      <c r="I181">
        <v>549.04459810000003</v>
      </c>
    </row>
    <row r="182" spans="1:9" x14ac:dyDescent="0.2">
      <c r="A182">
        <v>23611.73</v>
      </c>
      <c r="B182" t="s">
        <v>234</v>
      </c>
      <c r="C182" s="5">
        <v>44258</v>
      </c>
      <c r="D182" t="s">
        <v>152</v>
      </c>
      <c r="E182">
        <v>0</v>
      </c>
      <c r="F182">
        <v>0.46193318</v>
      </c>
      <c r="G182">
        <v>0</v>
      </c>
      <c r="H182">
        <v>10907.041443800001</v>
      </c>
      <c r="I182">
        <v>10907.041443800001</v>
      </c>
    </row>
    <row r="183" spans="1:9" x14ac:dyDescent="0.2">
      <c r="A183">
        <v>868159.99</v>
      </c>
      <c r="B183" t="s">
        <v>235</v>
      </c>
      <c r="C183" s="5">
        <v>44474</v>
      </c>
      <c r="D183" t="s">
        <v>145</v>
      </c>
      <c r="E183">
        <v>0</v>
      </c>
      <c r="F183">
        <v>4.8488589999999998E-2</v>
      </c>
      <c r="G183">
        <v>0</v>
      </c>
      <c r="H183">
        <v>42095.856139399999</v>
      </c>
      <c r="I183">
        <v>42095.856139399999</v>
      </c>
    </row>
    <row r="184" spans="1:9" x14ac:dyDescent="0.2">
      <c r="A184">
        <v>620.12650314999996</v>
      </c>
      <c r="B184" t="s">
        <v>236</v>
      </c>
      <c r="C184" s="5">
        <v>44540</v>
      </c>
      <c r="D184" t="s">
        <v>158</v>
      </c>
      <c r="E184">
        <v>0</v>
      </c>
      <c r="F184">
        <v>0</v>
      </c>
      <c r="G184">
        <v>0</v>
      </c>
      <c r="H184">
        <v>0</v>
      </c>
      <c r="I184">
        <v>0</v>
      </c>
    </row>
    <row r="185" spans="1:9" x14ac:dyDescent="0.2">
      <c r="A185">
        <v>24748960.789999999</v>
      </c>
      <c r="B185" t="s">
        <v>237</v>
      </c>
      <c r="C185" s="5">
        <v>44554</v>
      </c>
      <c r="D185" t="s">
        <v>139</v>
      </c>
      <c r="E185">
        <v>0</v>
      </c>
      <c r="F185">
        <v>4.8600000000000001E-6</v>
      </c>
      <c r="G185">
        <v>0</v>
      </c>
      <c r="H185">
        <v>120.37545876999999</v>
      </c>
      <c r="I185">
        <v>120.37545876999999</v>
      </c>
    </row>
    <row r="186" spans="1:9" x14ac:dyDescent="0.2">
      <c r="A186">
        <v>50.1759852</v>
      </c>
      <c r="B186" t="s">
        <v>238</v>
      </c>
      <c r="C186" s="5">
        <v>44549</v>
      </c>
      <c r="D186" t="s">
        <v>141</v>
      </c>
      <c r="E186">
        <v>0</v>
      </c>
      <c r="F186">
        <v>1.1460659999999999E-2</v>
      </c>
      <c r="G186">
        <v>0</v>
      </c>
      <c r="H186">
        <v>0.57504993000000004</v>
      </c>
      <c r="I186">
        <v>0.57504993000000004</v>
      </c>
    </row>
    <row r="187" spans="1:9" x14ac:dyDescent="0.2">
      <c r="A187">
        <v>485956.96077577001</v>
      </c>
      <c r="B187" t="s">
        <v>239</v>
      </c>
      <c r="C187" s="5">
        <v>44069</v>
      </c>
      <c r="D187" t="s">
        <v>152</v>
      </c>
      <c r="E187">
        <v>0</v>
      </c>
      <c r="F187">
        <v>0.50563864999999997</v>
      </c>
      <c r="G187">
        <v>0</v>
      </c>
      <c r="H187">
        <v>245718.61973122999</v>
      </c>
      <c r="I187">
        <v>245718.61973122999</v>
      </c>
    </row>
    <row r="188" spans="1:9" x14ac:dyDescent="0.2">
      <c r="A188">
        <v>33200</v>
      </c>
      <c r="B188" t="s">
        <v>240</v>
      </c>
      <c r="C188" s="5">
        <v>44242</v>
      </c>
      <c r="D188" t="s">
        <v>127</v>
      </c>
      <c r="E188">
        <v>0</v>
      </c>
      <c r="F188">
        <v>0.23040141</v>
      </c>
      <c r="G188">
        <v>0</v>
      </c>
      <c r="H188">
        <v>7649.3266668599999</v>
      </c>
      <c r="I188">
        <v>7649.3266668599999</v>
      </c>
    </row>
    <row r="189" spans="1:9" x14ac:dyDescent="0.2">
      <c r="A189">
        <v>6.5730000000000004</v>
      </c>
      <c r="B189" t="s">
        <v>241</v>
      </c>
      <c r="C189" s="5">
        <v>44264</v>
      </c>
      <c r="D189" t="s">
        <v>150</v>
      </c>
      <c r="E189">
        <v>0</v>
      </c>
      <c r="F189">
        <v>7.2519662199999999</v>
      </c>
      <c r="G189">
        <v>0</v>
      </c>
      <c r="H189">
        <v>47.667173939999998</v>
      </c>
      <c r="I189">
        <v>47.667173939999998</v>
      </c>
    </row>
    <row r="190" spans="1:9" x14ac:dyDescent="0.2">
      <c r="A190">
        <v>19150000</v>
      </c>
      <c r="B190" t="s">
        <v>242</v>
      </c>
      <c r="C190" s="5">
        <v>44078</v>
      </c>
      <c r="D190" t="s">
        <v>122</v>
      </c>
      <c r="E190">
        <v>0</v>
      </c>
      <c r="F190">
        <v>9.6566800000000008E-3</v>
      </c>
      <c r="G190">
        <v>0</v>
      </c>
      <c r="H190">
        <v>184925.49721793999</v>
      </c>
      <c r="I190">
        <v>184925.49721793999</v>
      </c>
    </row>
    <row r="191" spans="1:9" x14ac:dyDescent="0.2">
      <c r="A191">
        <v>1</v>
      </c>
      <c r="B191" t="s">
        <v>243</v>
      </c>
      <c r="C191" s="5">
        <v>44530</v>
      </c>
      <c r="D191" t="s">
        <v>139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2">
      <c r="A192">
        <v>1116791.6669999999</v>
      </c>
      <c r="B192" t="s">
        <v>244</v>
      </c>
      <c r="C192" s="5">
        <v>44250</v>
      </c>
      <c r="D192" t="s">
        <v>127</v>
      </c>
      <c r="E192">
        <v>0</v>
      </c>
      <c r="F192">
        <v>3.2563999999999998E-4</v>
      </c>
      <c r="G192">
        <v>0</v>
      </c>
      <c r="H192">
        <v>363.66800231000002</v>
      </c>
      <c r="I192">
        <v>363.66800231000002</v>
      </c>
    </row>
    <row r="193" spans="1:9" x14ac:dyDescent="0.2">
      <c r="A193">
        <v>500000</v>
      </c>
      <c r="B193" t="s">
        <v>245</v>
      </c>
      <c r="C193" s="5">
        <v>44524</v>
      </c>
      <c r="D193" t="s">
        <v>122</v>
      </c>
      <c r="E193">
        <v>0</v>
      </c>
      <c r="F193">
        <v>6.5640580000000004E-2</v>
      </c>
      <c r="G193">
        <v>0</v>
      </c>
      <c r="H193">
        <v>32820.291712270002</v>
      </c>
      <c r="I193">
        <v>32820.291712270002</v>
      </c>
    </row>
    <row r="194" spans="1:9" x14ac:dyDescent="0.2">
      <c r="A194">
        <v>714.77781000000004</v>
      </c>
      <c r="B194" t="s">
        <v>246</v>
      </c>
      <c r="C194" s="5">
        <v>44065</v>
      </c>
      <c r="D194" t="s">
        <v>124</v>
      </c>
      <c r="E194">
        <v>0</v>
      </c>
      <c r="F194">
        <v>2.9028060000000001E-2</v>
      </c>
      <c r="G194">
        <v>0</v>
      </c>
      <c r="H194">
        <v>20.748616299999998</v>
      </c>
      <c r="I194">
        <v>20.748616299999998</v>
      </c>
    </row>
    <row r="195" spans="1:9" x14ac:dyDescent="0.2">
      <c r="A195">
        <v>569.57000000000005</v>
      </c>
      <c r="B195" t="s">
        <v>246</v>
      </c>
      <c r="C195" s="5">
        <v>44178</v>
      </c>
      <c r="D195" t="s">
        <v>124</v>
      </c>
      <c r="E195">
        <v>0</v>
      </c>
      <c r="F195">
        <v>2.9028060000000001E-2</v>
      </c>
      <c r="G195">
        <v>0</v>
      </c>
      <c r="H195">
        <v>16.53351464</v>
      </c>
      <c r="I195">
        <v>16.53351464</v>
      </c>
    </row>
    <row r="196" spans="1:9" x14ac:dyDescent="0.2">
      <c r="A196">
        <v>1E-8</v>
      </c>
      <c r="B196" t="s">
        <v>247</v>
      </c>
      <c r="C196" s="5">
        <v>44250</v>
      </c>
      <c r="D196" t="s">
        <v>152</v>
      </c>
      <c r="E196">
        <v>0</v>
      </c>
      <c r="F196">
        <v>23.694253490000001</v>
      </c>
      <c r="G196">
        <v>0</v>
      </c>
      <c r="H196">
        <v>2.3999999999999998E-7</v>
      </c>
      <c r="I196">
        <v>2.3999999999999998E-7</v>
      </c>
    </row>
    <row r="197" spans="1:9" x14ac:dyDescent="0.2">
      <c r="A197">
        <v>7624.2</v>
      </c>
      <c r="B197" t="s">
        <v>248</v>
      </c>
      <c r="C197" s="5">
        <v>44294</v>
      </c>
      <c r="D197" t="s">
        <v>122</v>
      </c>
      <c r="E197">
        <v>0</v>
      </c>
      <c r="F197">
        <v>0.10814418000000001</v>
      </c>
      <c r="G197">
        <v>0</v>
      </c>
      <c r="H197">
        <v>824.51282748000006</v>
      </c>
      <c r="I197">
        <v>824.51282748000006</v>
      </c>
    </row>
    <row r="198" spans="1:9" x14ac:dyDescent="0.2">
      <c r="A198">
        <v>41666.666666669997</v>
      </c>
      <c r="B198" t="s">
        <v>249</v>
      </c>
      <c r="C198" s="5">
        <v>44487</v>
      </c>
      <c r="D198" t="s">
        <v>152</v>
      </c>
      <c r="E198">
        <v>0</v>
      </c>
      <c r="F198">
        <v>0.93193112</v>
      </c>
      <c r="G198">
        <v>0</v>
      </c>
      <c r="H198">
        <v>38830.463419779997</v>
      </c>
      <c r="I198">
        <v>38830.463419779997</v>
      </c>
    </row>
    <row r="199" spans="1:9" x14ac:dyDescent="0.2">
      <c r="A199">
        <v>44270.7333</v>
      </c>
      <c r="B199" t="s">
        <v>250</v>
      </c>
      <c r="C199" s="5">
        <v>44258</v>
      </c>
      <c r="D199" t="s">
        <v>152</v>
      </c>
      <c r="E199">
        <v>0</v>
      </c>
      <c r="F199">
        <v>1.0060273099999999</v>
      </c>
      <c r="G199">
        <v>0</v>
      </c>
      <c r="H199">
        <v>44537.566567269998</v>
      </c>
      <c r="I199">
        <v>44537.566567269998</v>
      </c>
    </row>
    <row r="200" spans="1:9" x14ac:dyDescent="0.2">
      <c r="A200">
        <v>4600</v>
      </c>
      <c r="B200" t="s">
        <v>250</v>
      </c>
      <c r="C200" s="5">
        <v>44459</v>
      </c>
      <c r="D200" t="s">
        <v>152</v>
      </c>
      <c r="E200">
        <v>0</v>
      </c>
      <c r="F200">
        <v>1.0060273099999999</v>
      </c>
      <c r="G200">
        <v>0</v>
      </c>
      <c r="H200">
        <v>4627.7256087200003</v>
      </c>
      <c r="I200">
        <v>4627.7256087200003</v>
      </c>
    </row>
    <row r="201" spans="1:9" x14ac:dyDescent="0.2">
      <c r="A201">
        <v>2583500.6</v>
      </c>
      <c r="B201" t="s">
        <v>251</v>
      </c>
      <c r="C201" s="5">
        <v>44074</v>
      </c>
      <c r="D201" t="s">
        <v>124</v>
      </c>
      <c r="E201">
        <v>0</v>
      </c>
      <c r="F201">
        <v>1.6122839999999999E-2</v>
      </c>
      <c r="G201">
        <v>0</v>
      </c>
      <c r="H201">
        <v>41653.373892019998</v>
      </c>
      <c r="I201">
        <v>41653.373892019998</v>
      </c>
    </row>
    <row r="202" spans="1:9" x14ac:dyDescent="0.2">
      <c r="A202">
        <v>733017</v>
      </c>
      <c r="B202" t="s">
        <v>252</v>
      </c>
      <c r="C202" s="5">
        <v>44290</v>
      </c>
      <c r="D202" t="s">
        <v>122</v>
      </c>
      <c r="E202">
        <v>0</v>
      </c>
      <c r="F202">
        <v>2.0193039999999999E-2</v>
      </c>
      <c r="G202">
        <v>0</v>
      </c>
      <c r="H202">
        <v>14801.843782329999</v>
      </c>
      <c r="I202">
        <v>14801.843782329999</v>
      </c>
    </row>
    <row r="203" spans="1:9" x14ac:dyDescent="0.2">
      <c r="A203">
        <v>4.26728E-3</v>
      </c>
      <c r="B203" t="s">
        <v>253</v>
      </c>
      <c r="C203" s="5">
        <v>44526</v>
      </c>
      <c r="D203" t="s">
        <v>141</v>
      </c>
      <c r="E203">
        <v>0</v>
      </c>
      <c r="F203">
        <v>30.346038400000001</v>
      </c>
      <c r="G203">
        <v>0</v>
      </c>
      <c r="H203">
        <v>0.12949504000000001</v>
      </c>
      <c r="I203">
        <v>0.12949504000000001</v>
      </c>
    </row>
    <row r="204" spans="1:9" x14ac:dyDescent="0.2">
      <c r="A204">
        <v>136440.0406636</v>
      </c>
      <c r="B204" t="s">
        <v>254</v>
      </c>
      <c r="C204" s="5">
        <v>44513</v>
      </c>
      <c r="D204" t="s">
        <v>152</v>
      </c>
      <c r="E204">
        <v>0</v>
      </c>
      <c r="F204">
        <v>1.6688E-4</v>
      </c>
      <c r="G204">
        <v>0</v>
      </c>
      <c r="H204">
        <v>22.76845088</v>
      </c>
      <c r="I204">
        <v>22.76845088</v>
      </c>
    </row>
    <row r="205" spans="1:9" x14ac:dyDescent="0.2">
      <c r="A205">
        <v>27270.172409949999</v>
      </c>
      <c r="B205" t="s">
        <v>255</v>
      </c>
      <c r="C205" s="5">
        <v>44484</v>
      </c>
      <c r="D205" t="s">
        <v>147</v>
      </c>
      <c r="E205">
        <v>0</v>
      </c>
      <c r="F205">
        <v>0.87833055000000004</v>
      </c>
      <c r="G205">
        <v>0</v>
      </c>
      <c r="H205">
        <v>23952.225619019999</v>
      </c>
      <c r="I205">
        <v>23952.225619019999</v>
      </c>
    </row>
    <row r="206" spans="1:9" x14ac:dyDescent="0.2">
      <c r="A206">
        <v>50000</v>
      </c>
      <c r="B206" t="s">
        <v>255</v>
      </c>
      <c r="C206" s="5">
        <v>44497</v>
      </c>
      <c r="D206" t="s">
        <v>256</v>
      </c>
      <c r="E206">
        <v>0</v>
      </c>
      <c r="F206">
        <v>0.87833055000000004</v>
      </c>
      <c r="G206">
        <v>0</v>
      </c>
      <c r="H206">
        <v>43916.527660599997</v>
      </c>
      <c r="I206">
        <v>43916.527660599997</v>
      </c>
    </row>
    <row r="207" spans="1:9" x14ac:dyDescent="0.2">
      <c r="A207">
        <v>7545.0805209999999</v>
      </c>
      <c r="B207" t="s">
        <v>255</v>
      </c>
      <c r="C207" s="5">
        <v>44501</v>
      </c>
      <c r="D207" t="s">
        <v>166</v>
      </c>
      <c r="E207">
        <v>0</v>
      </c>
      <c r="F207">
        <v>0.87833055000000004</v>
      </c>
      <c r="G207">
        <v>0</v>
      </c>
      <c r="H207">
        <v>6627.0747480399996</v>
      </c>
      <c r="I207">
        <v>6627.0747480399996</v>
      </c>
    </row>
    <row r="208" spans="1:9" x14ac:dyDescent="0.2">
      <c r="A208">
        <v>18147.664922</v>
      </c>
      <c r="B208" t="s">
        <v>255</v>
      </c>
      <c r="C208" s="5">
        <v>44501</v>
      </c>
      <c r="D208" t="s">
        <v>147</v>
      </c>
      <c r="E208">
        <v>0</v>
      </c>
      <c r="F208">
        <v>0.87833055000000004</v>
      </c>
      <c r="G208">
        <v>0</v>
      </c>
      <c r="H208">
        <v>15939.648570449999</v>
      </c>
      <c r="I208">
        <v>15939.648570449999</v>
      </c>
    </row>
    <row r="209" spans="1:9" x14ac:dyDescent="0.2">
      <c r="A209">
        <v>65421.543942999997</v>
      </c>
      <c r="B209" t="s">
        <v>255</v>
      </c>
      <c r="C209" s="5">
        <v>44501</v>
      </c>
      <c r="D209" t="s">
        <v>152</v>
      </c>
      <c r="E209">
        <v>0</v>
      </c>
      <c r="F209">
        <v>0.87833055000000004</v>
      </c>
      <c r="G209">
        <v>0</v>
      </c>
      <c r="H209">
        <v>57461.740883439998</v>
      </c>
      <c r="I209">
        <v>57461.740883439998</v>
      </c>
    </row>
    <row r="210" spans="1:9" x14ac:dyDescent="0.2">
      <c r="A210">
        <v>25836.089665</v>
      </c>
      <c r="B210" t="s">
        <v>255</v>
      </c>
      <c r="C210" s="5">
        <v>44503</v>
      </c>
      <c r="D210" t="s">
        <v>152</v>
      </c>
      <c r="E210">
        <v>0</v>
      </c>
      <c r="F210">
        <v>0.87833055000000004</v>
      </c>
      <c r="G210">
        <v>0</v>
      </c>
      <c r="H210">
        <v>22692.626928289999</v>
      </c>
      <c r="I210">
        <v>22692.626928289999</v>
      </c>
    </row>
    <row r="211" spans="1:9" x14ac:dyDescent="0.2">
      <c r="A211">
        <v>18240.818439999999</v>
      </c>
      <c r="B211" t="s">
        <v>255</v>
      </c>
      <c r="C211" s="5">
        <v>44509</v>
      </c>
      <c r="D211" t="s">
        <v>145</v>
      </c>
      <c r="E211">
        <v>0</v>
      </c>
      <c r="F211">
        <v>0.87833055000000004</v>
      </c>
      <c r="G211">
        <v>0</v>
      </c>
      <c r="H211">
        <v>16021.46815144</v>
      </c>
      <c r="I211">
        <v>16021.46815144</v>
      </c>
    </row>
    <row r="212" spans="1:9" x14ac:dyDescent="0.2">
      <c r="A212">
        <v>15533.369804</v>
      </c>
      <c r="B212" t="s">
        <v>255</v>
      </c>
      <c r="C212" s="5">
        <v>44513</v>
      </c>
      <c r="D212" t="s">
        <v>152</v>
      </c>
      <c r="E212">
        <v>0</v>
      </c>
      <c r="F212">
        <v>0.87833055000000004</v>
      </c>
      <c r="G212">
        <v>0</v>
      </c>
      <c r="H212">
        <v>13643.433293190001</v>
      </c>
      <c r="I212">
        <v>13643.433293190001</v>
      </c>
    </row>
    <row r="213" spans="1:9" x14ac:dyDescent="0.2">
      <c r="A213">
        <v>14592.594612999999</v>
      </c>
      <c r="B213" t="s">
        <v>255</v>
      </c>
      <c r="C213" s="5">
        <v>44513</v>
      </c>
      <c r="D213" t="s">
        <v>147</v>
      </c>
      <c r="E213">
        <v>0</v>
      </c>
      <c r="F213">
        <v>0.87833055000000004</v>
      </c>
      <c r="G213">
        <v>0</v>
      </c>
      <c r="H213">
        <v>12817.12169923</v>
      </c>
      <c r="I213">
        <v>12817.12169923</v>
      </c>
    </row>
    <row r="214" spans="1:9" x14ac:dyDescent="0.2">
      <c r="A214">
        <v>5528.4715990000004</v>
      </c>
      <c r="B214" t="s">
        <v>255</v>
      </c>
      <c r="C214" s="5">
        <v>44513</v>
      </c>
      <c r="D214" t="s">
        <v>184</v>
      </c>
      <c r="E214">
        <v>0</v>
      </c>
      <c r="F214">
        <v>0.87833055000000004</v>
      </c>
      <c r="G214">
        <v>0</v>
      </c>
      <c r="H214">
        <v>4855.82551797</v>
      </c>
      <c r="I214">
        <v>4855.82551797</v>
      </c>
    </row>
    <row r="215" spans="1:9" x14ac:dyDescent="0.2">
      <c r="A215">
        <v>25000</v>
      </c>
      <c r="B215" t="s">
        <v>255</v>
      </c>
      <c r="C215" s="5">
        <v>44514</v>
      </c>
      <c r="D215" t="s">
        <v>152</v>
      </c>
      <c r="E215">
        <v>0</v>
      </c>
      <c r="F215">
        <v>0.87833055000000004</v>
      </c>
      <c r="G215">
        <v>0</v>
      </c>
      <c r="H215">
        <v>21958.263830299999</v>
      </c>
      <c r="I215">
        <v>21958.263830299999</v>
      </c>
    </row>
    <row r="216" spans="1:9" x14ac:dyDescent="0.2">
      <c r="A216">
        <v>4167</v>
      </c>
      <c r="B216" t="s">
        <v>255</v>
      </c>
      <c r="C216" s="5">
        <v>44525</v>
      </c>
      <c r="D216" t="s">
        <v>127</v>
      </c>
      <c r="E216">
        <v>0</v>
      </c>
      <c r="F216">
        <v>0.87833055000000004</v>
      </c>
      <c r="G216">
        <v>0</v>
      </c>
      <c r="H216">
        <v>3660.00341523</v>
      </c>
      <c r="I216">
        <v>3660.00341523</v>
      </c>
    </row>
    <row r="217" spans="1:9" x14ac:dyDescent="0.2">
      <c r="A217">
        <v>52215.111227000001</v>
      </c>
      <c r="B217" t="s">
        <v>255</v>
      </c>
      <c r="C217" s="5">
        <v>44538</v>
      </c>
      <c r="D217" t="s">
        <v>152</v>
      </c>
      <c r="E217">
        <v>0</v>
      </c>
      <c r="F217">
        <v>0.87833055000000004</v>
      </c>
      <c r="G217">
        <v>0</v>
      </c>
      <c r="H217">
        <v>45862.127530029997</v>
      </c>
      <c r="I217">
        <v>45862.127530029997</v>
      </c>
    </row>
    <row r="218" spans="1:9" x14ac:dyDescent="0.2">
      <c r="A218">
        <v>4526.9721120000004</v>
      </c>
      <c r="B218" t="s">
        <v>255</v>
      </c>
      <c r="C218" s="5">
        <v>44539</v>
      </c>
      <c r="D218" t="s">
        <v>257</v>
      </c>
      <c r="E218">
        <v>0</v>
      </c>
      <c r="F218">
        <v>0.87833055000000004</v>
      </c>
      <c r="G218">
        <v>0</v>
      </c>
      <c r="H218">
        <v>3976.1779195099998</v>
      </c>
      <c r="I218">
        <v>3976.1779195099998</v>
      </c>
    </row>
    <row r="219" spans="1:9" x14ac:dyDescent="0.2">
      <c r="A219">
        <v>3044.2766160000001</v>
      </c>
      <c r="B219" t="s">
        <v>255</v>
      </c>
      <c r="C219" s="5">
        <v>44540</v>
      </c>
      <c r="D219" t="s">
        <v>141</v>
      </c>
      <c r="E219">
        <v>0</v>
      </c>
      <c r="F219">
        <v>0.87833055000000004</v>
      </c>
      <c r="G219">
        <v>0</v>
      </c>
      <c r="H219">
        <v>2673.8811642599999</v>
      </c>
      <c r="I219">
        <v>2673.8811642599999</v>
      </c>
    </row>
    <row r="220" spans="1:9" x14ac:dyDescent="0.2">
      <c r="A220">
        <v>81975.488687560006</v>
      </c>
      <c r="B220" t="s">
        <v>255</v>
      </c>
      <c r="C220" s="5">
        <v>44549</v>
      </c>
      <c r="D220" t="s">
        <v>258</v>
      </c>
      <c r="E220">
        <v>0</v>
      </c>
      <c r="F220">
        <v>0.87833055000000004</v>
      </c>
      <c r="G220">
        <v>0</v>
      </c>
      <c r="H220">
        <v>72001.576328759998</v>
      </c>
      <c r="I220">
        <v>72001.576328759998</v>
      </c>
    </row>
    <row r="221" spans="1:9" x14ac:dyDescent="0.2">
      <c r="A221">
        <v>5884.3569741399997</v>
      </c>
      <c r="B221" t="s">
        <v>255</v>
      </c>
      <c r="C221" s="5">
        <v>44549</v>
      </c>
      <c r="D221" t="s">
        <v>127</v>
      </c>
      <c r="E221">
        <v>0</v>
      </c>
      <c r="F221">
        <v>0.87833055000000004</v>
      </c>
      <c r="G221">
        <v>0</v>
      </c>
      <c r="H221">
        <v>5168.4105163900003</v>
      </c>
      <c r="I221">
        <v>5168.4105163900003</v>
      </c>
    </row>
    <row r="222" spans="1:9" x14ac:dyDescent="0.2">
      <c r="A222">
        <v>20359.875129280001</v>
      </c>
      <c r="B222" t="s">
        <v>255</v>
      </c>
      <c r="C222" s="5">
        <v>44550</v>
      </c>
      <c r="D222" t="s">
        <v>259</v>
      </c>
      <c r="E222">
        <v>0</v>
      </c>
      <c r="F222">
        <v>0.87833055000000004</v>
      </c>
      <c r="G222">
        <v>0</v>
      </c>
      <c r="H222">
        <v>17882.70038563</v>
      </c>
      <c r="I222">
        <v>17882.70038563</v>
      </c>
    </row>
    <row r="223" spans="1:9" x14ac:dyDescent="0.2">
      <c r="A223">
        <v>125.723161</v>
      </c>
      <c r="B223" t="s">
        <v>255</v>
      </c>
      <c r="C223" s="5">
        <v>44550</v>
      </c>
      <c r="D223" t="s">
        <v>184</v>
      </c>
      <c r="E223">
        <v>0</v>
      </c>
      <c r="F223">
        <v>0.87833055000000004</v>
      </c>
      <c r="G223">
        <v>0</v>
      </c>
      <c r="H223">
        <v>110.42649355</v>
      </c>
      <c r="I223">
        <v>110.42649355</v>
      </c>
    </row>
    <row r="224" spans="1:9" x14ac:dyDescent="0.2">
      <c r="A224">
        <v>3681.4324059999999</v>
      </c>
      <c r="B224" t="s">
        <v>255</v>
      </c>
      <c r="C224" s="5">
        <v>44558</v>
      </c>
      <c r="D224" t="s">
        <v>152</v>
      </c>
      <c r="E224">
        <v>0</v>
      </c>
      <c r="F224">
        <v>0.87833055000000004</v>
      </c>
      <c r="G224">
        <v>0</v>
      </c>
      <c r="H224">
        <v>3233.51456177</v>
      </c>
      <c r="I224">
        <v>3233.51456177</v>
      </c>
    </row>
    <row r="225" spans="1:9" x14ac:dyDescent="0.2">
      <c r="A225">
        <v>15.434291</v>
      </c>
      <c r="B225" t="s">
        <v>255</v>
      </c>
      <c r="C225" s="5">
        <v>44561</v>
      </c>
      <c r="D225" t="s">
        <v>184</v>
      </c>
      <c r="E225">
        <v>0</v>
      </c>
      <c r="F225">
        <v>0.87833055000000004</v>
      </c>
      <c r="G225">
        <v>0</v>
      </c>
      <c r="H225">
        <v>13.556409349999999</v>
      </c>
      <c r="I225">
        <v>13.556409349999999</v>
      </c>
    </row>
    <row r="226" spans="1:9" x14ac:dyDescent="0.2">
      <c r="A226">
        <v>100.21642772</v>
      </c>
      <c r="B226" t="s">
        <v>260</v>
      </c>
      <c r="C226" s="5">
        <v>44247</v>
      </c>
      <c r="D226" t="s">
        <v>158</v>
      </c>
      <c r="E226">
        <v>0</v>
      </c>
      <c r="F226">
        <v>0.26871708</v>
      </c>
      <c r="G226">
        <v>0</v>
      </c>
      <c r="H226">
        <v>26.929865360000001</v>
      </c>
      <c r="I226">
        <v>26.929865360000001</v>
      </c>
    </row>
    <row r="227" spans="1:9" x14ac:dyDescent="0.2">
      <c r="A227">
        <v>390</v>
      </c>
      <c r="B227" t="s">
        <v>261</v>
      </c>
      <c r="C227" s="5">
        <v>44228</v>
      </c>
      <c r="D227" t="s">
        <v>262</v>
      </c>
      <c r="E227">
        <v>0</v>
      </c>
      <c r="F227">
        <v>6.4237089999999997E-2</v>
      </c>
      <c r="G227">
        <v>0</v>
      </c>
      <c r="H227">
        <v>25.0524667</v>
      </c>
      <c r="I227">
        <v>25.0524667</v>
      </c>
    </row>
    <row r="228" spans="1:9" x14ac:dyDescent="0.2">
      <c r="A228">
        <v>3600000</v>
      </c>
      <c r="B228" t="s">
        <v>263</v>
      </c>
      <c r="C228" s="5">
        <v>44412</v>
      </c>
      <c r="D228" t="s">
        <v>256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x14ac:dyDescent="0.2">
      <c r="A229">
        <v>1</v>
      </c>
      <c r="B229" t="s">
        <v>263</v>
      </c>
      <c r="C229" s="5">
        <v>44498</v>
      </c>
      <c r="D229" t="s">
        <v>122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2">
      <c r="A230">
        <v>1</v>
      </c>
      <c r="B230" t="s">
        <v>264</v>
      </c>
      <c r="C230" s="5">
        <v>44482</v>
      </c>
      <c r="D230" t="s">
        <v>122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1:9" x14ac:dyDescent="0.2">
      <c r="A231">
        <v>1145525.1434599899</v>
      </c>
      <c r="B231" t="s">
        <v>265</v>
      </c>
      <c r="C231" s="5">
        <v>44203</v>
      </c>
      <c r="D231" t="s">
        <v>258</v>
      </c>
      <c r="E231">
        <v>0</v>
      </c>
      <c r="F231">
        <v>8.4522000000000004E-4</v>
      </c>
      <c r="G231">
        <v>0</v>
      </c>
      <c r="H231">
        <v>968.22107544000005</v>
      </c>
      <c r="I231">
        <v>968.22107544000005</v>
      </c>
    </row>
    <row r="232" spans="1:9" x14ac:dyDescent="0.2">
      <c r="A232">
        <v>1709077</v>
      </c>
      <c r="B232" t="s">
        <v>265</v>
      </c>
      <c r="C232" s="5">
        <v>44229</v>
      </c>
      <c r="D232" t="s">
        <v>258</v>
      </c>
      <c r="E232">
        <v>0</v>
      </c>
      <c r="F232">
        <v>8.4522000000000004E-4</v>
      </c>
      <c r="G232">
        <v>0</v>
      </c>
      <c r="H232">
        <v>1444.54652994</v>
      </c>
      <c r="I232">
        <v>1444.54652994</v>
      </c>
    </row>
    <row r="233" spans="1:9" x14ac:dyDescent="0.2">
      <c r="A233">
        <v>64998.7</v>
      </c>
      <c r="B233" t="s">
        <v>266</v>
      </c>
      <c r="C233" s="5">
        <v>44178</v>
      </c>
      <c r="D233" t="s">
        <v>127</v>
      </c>
      <c r="E233">
        <v>0</v>
      </c>
      <c r="F233">
        <v>0.13593029000000001</v>
      </c>
      <c r="G233">
        <v>0</v>
      </c>
      <c r="H233">
        <v>8835.2923585200006</v>
      </c>
      <c r="I233">
        <v>8835.2923585200006</v>
      </c>
    </row>
    <row r="234" spans="1:9" x14ac:dyDescent="0.2">
      <c r="A234">
        <v>1668.2</v>
      </c>
      <c r="B234" t="s">
        <v>267</v>
      </c>
      <c r="C234" s="5">
        <v>44228</v>
      </c>
      <c r="D234" t="s">
        <v>150</v>
      </c>
      <c r="E234">
        <v>0</v>
      </c>
      <c r="F234">
        <v>8.2527000000000002E-4</v>
      </c>
      <c r="G234">
        <v>0</v>
      </c>
      <c r="H234">
        <v>1.3767084599999999</v>
      </c>
      <c r="I234">
        <v>1.3767084599999999</v>
      </c>
    </row>
    <row r="235" spans="1:9" x14ac:dyDescent="0.2">
      <c r="A235">
        <v>2E-3</v>
      </c>
      <c r="B235" t="s">
        <v>268</v>
      </c>
      <c r="C235" s="5">
        <v>44269</v>
      </c>
      <c r="D235" t="s">
        <v>269</v>
      </c>
      <c r="E235">
        <v>0</v>
      </c>
      <c r="F235">
        <v>2.3803E-4</v>
      </c>
      <c r="G235">
        <v>0</v>
      </c>
      <c r="H235">
        <v>4.7999999999999996E-7</v>
      </c>
      <c r="I235">
        <v>4.7999999999999996E-7</v>
      </c>
    </row>
    <row r="236" spans="1:9" x14ac:dyDescent="0.2">
      <c r="A236">
        <v>169939.07417198</v>
      </c>
      <c r="B236" t="s">
        <v>270</v>
      </c>
      <c r="C236" s="5">
        <v>44462</v>
      </c>
      <c r="D236" t="s">
        <v>152</v>
      </c>
      <c r="E236">
        <v>0</v>
      </c>
      <c r="F236">
        <v>1.0865359999999999E-2</v>
      </c>
      <c r="G236">
        <v>0</v>
      </c>
      <c r="H236">
        <v>1846.4493992099999</v>
      </c>
      <c r="I236">
        <v>1846.4493992099999</v>
      </c>
    </row>
    <row r="237" spans="1:9" x14ac:dyDescent="0.2">
      <c r="A237">
        <v>500000</v>
      </c>
      <c r="B237" t="s">
        <v>271</v>
      </c>
      <c r="C237" s="5">
        <v>44286</v>
      </c>
      <c r="D237" t="s">
        <v>122</v>
      </c>
      <c r="E237">
        <v>0</v>
      </c>
      <c r="F237">
        <v>1.9992579999999999E-2</v>
      </c>
      <c r="G237">
        <v>0</v>
      </c>
      <c r="H237">
        <v>9996.2918000099999</v>
      </c>
      <c r="I237">
        <v>9996.2918000099999</v>
      </c>
    </row>
    <row r="238" spans="1:9" x14ac:dyDescent="0.2">
      <c r="A238">
        <v>1818181</v>
      </c>
      <c r="B238" t="s">
        <v>272</v>
      </c>
      <c r="C238" s="5">
        <v>44511</v>
      </c>
      <c r="D238" t="s">
        <v>122</v>
      </c>
      <c r="E238">
        <v>0</v>
      </c>
      <c r="F238">
        <v>1.0074824099999999</v>
      </c>
      <c r="G238">
        <v>0</v>
      </c>
      <c r="H238">
        <v>1831785.3765957099</v>
      </c>
      <c r="I238">
        <v>1831785.3765957099</v>
      </c>
    </row>
    <row r="239" spans="1:9" x14ac:dyDescent="0.2">
      <c r="A239">
        <v>464043</v>
      </c>
      <c r="B239" t="s">
        <v>273</v>
      </c>
      <c r="C239" s="5">
        <v>44449</v>
      </c>
      <c r="D239" t="s">
        <v>127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x14ac:dyDescent="0.2">
      <c r="A240">
        <v>0.33</v>
      </c>
      <c r="B240" t="s">
        <v>274</v>
      </c>
      <c r="C240" s="5">
        <v>44062</v>
      </c>
      <c r="D240" t="s">
        <v>152</v>
      </c>
      <c r="E240">
        <v>0</v>
      </c>
      <c r="F240">
        <v>0.11538241</v>
      </c>
      <c r="G240">
        <v>0</v>
      </c>
      <c r="H240">
        <v>3.8076190000000003E-2</v>
      </c>
      <c r="I240">
        <v>3.8076190000000003E-2</v>
      </c>
    </row>
    <row r="241" spans="1:9" x14ac:dyDescent="0.2">
      <c r="A241">
        <v>6207.1620000000003</v>
      </c>
      <c r="B241" t="s">
        <v>275</v>
      </c>
      <c r="C241" s="5">
        <v>44354</v>
      </c>
      <c r="D241" t="s">
        <v>150</v>
      </c>
      <c r="E241">
        <v>0</v>
      </c>
      <c r="F241">
        <v>0.24908714000000001</v>
      </c>
      <c r="G241">
        <v>0</v>
      </c>
      <c r="H241">
        <v>1546.1242369399999</v>
      </c>
      <c r="I241">
        <v>1546.1242369399999</v>
      </c>
    </row>
    <row r="242" spans="1:9" x14ac:dyDescent="0.2">
      <c r="A242">
        <v>207</v>
      </c>
      <c r="B242" t="s">
        <v>276</v>
      </c>
      <c r="C242" s="5">
        <v>44300</v>
      </c>
      <c r="D242" t="s">
        <v>152</v>
      </c>
      <c r="E242">
        <v>0</v>
      </c>
      <c r="F242">
        <v>2.5900000000000002E-6</v>
      </c>
      <c r="G242">
        <v>0</v>
      </c>
      <c r="H242">
        <v>5.3525999999999997E-4</v>
      </c>
      <c r="I242">
        <v>5.3525999999999997E-4</v>
      </c>
    </row>
    <row r="243" spans="1:9" x14ac:dyDescent="0.2">
      <c r="A243">
        <v>1091937.09987</v>
      </c>
      <c r="B243" t="s">
        <v>277</v>
      </c>
      <c r="C243" s="5">
        <v>43454</v>
      </c>
      <c r="D243" t="s">
        <v>132</v>
      </c>
      <c r="E243">
        <v>0</v>
      </c>
      <c r="F243">
        <v>0.23491666</v>
      </c>
      <c r="G243">
        <v>0</v>
      </c>
      <c r="H243">
        <v>256514.22172428001</v>
      </c>
      <c r="I243">
        <v>256514.22172428001</v>
      </c>
    </row>
    <row r="244" spans="1:9" x14ac:dyDescent="0.2">
      <c r="A244">
        <v>158422.5</v>
      </c>
      <c r="B244" t="s">
        <v>277</v>
      </c>
      <c r="C244" s="5">
        <v>44225</v>
      </c>
      <c r="D244" t="s">
        <v>150</v>
      </c>
      <c r="E244">
        <v>0</v>
      </c>
      <c r="F244">
        <v>0.23491666</v>
      </c>
      <c r="G244">
        <v>0</v>
      </c>
      <c r="H244">
        <v>37216.085336739998</v>
      </c>
      <c r="I244">
        <v>37216.085336739998</v>
      </c>
    </row>
    <row r="245" spans="1:9" x14ac:dyDescent="0.2">
      <c r="A245">
        <v>0.64</v>
      </c>
      <c r="B245" t="s">
        <v>278</v>
      </c>
      <c r="C245" s="5">
        <v>44317</v>
      </c>
      <c r="D245" t="s">
        <v>127</v>
      </c>
      <c r="E245">
        <v>0</v>
      </c>
      <c r="F245">
        <v>1.0097985700000001</v>
      </c>
      <c r="G245">
        <v>0</v>
      </c>
      <c r="H245">
        <v>0.64627108</v>
      </c>
      <c r="I245">
        <v>0.64627108</v>
      </c>
    </row>
    <row r="246" spans="1:9" x14ac:dyDescent="0.2">
      <c r="A246">
        <v>10000</v>
      </c>
      <c r="B246" t="s">
        <v>279</v>
      </c>
      <c r="C246" s="5">
        <v>44315</v>
      </c>
      <c r="D246" t="s">
        <v>129</v>
      </c>
      <c r="E246">
        <v>0</v>
      </c>
      <c r="F246">
        <v>9.1580700000000008E-3</v>
      </c>
      <c r="G246">
        <v>0</v>
      </c>
      <c r="H246">
        <v>91.580728379999996</v>
      </c>
      <c r="I246">
        <v>91.580728379999996</v>
      </c>
    </row>
    <row r="247" spans="1:9" x14ac:dyDescent="0.2">
      <c r="A247">
        <v>2642.4104900000002</v>
      </c>
      <c r="B247" t="s">
        <v>280</v>
      </c>
      <c r="C247" s="5">
        <v>44350</v>
      </c>
      <c r="D247" t="s">
        <v>129</v>
      </c>
      <c r="E247">
        <v>0</v>
      </c>
      <c r="F247">
        <v>0.82152250999999998</v>
      </c>
      <c r="G247">
        <v>0</v>
      </c>
      <c r="H247">
        <v>2170.7996933700001</v>
      </c>
      <c r="I247">
        <v>2170.7996933700001</v>
      </c>
    </row>
    <row r="248" spans="1:9" x14ac:dyDescent="0.2">
      <c r="A248">
        <v>129870</v>
      </c>
      <c r="B248" t="s">
        <v>280</v>
      </c>
      <c r="C248" s="5">
        <v>44441</v>
      </c>
      <c r="D248" t="s">
        <v>129</v>
      </c>
      <c r="E248">
        <v>0</v>
      </c>
      <c r="F248">
        <v>0.82152250999999998</v>
      </c>
      <c r="G248">
        <v>0</v>
      </c>
      <c r="H248">
        <v>106691.12813677</v>
      </c>
      <c r="I248">
        <v>106691.12813677</v>
      </c>
    </row>
    <row r="249" spans="1:9" x14ac:dyDescent="0.2">
      <c r="A249">
        <v>5149.8</v>
      </c>
      <c r="B249" t="s">
        <v>280</v>
      </c>
      <c r="C249" s="5">
        <v>44530</v>
      </c>
      <c r="D249" t="s">
        <v>127</v>
      </c>
      <c r="E249">
        <v>0</v>
      </c>
      <c r="F249">
        <v>0.82152250999999998</v>
      </c>
      <c r="G249">
        <v>0</v>
      </c>
      <c r="H249">
        <v>4230.6766126000002</v>
      </c>
      <c r="I249">
        <v>4230.6766126000002</v>
      </c>
    </row>
    <row r="250" spans="1:9" x14ac:dyDescent="0.2">
      <c r="A250">
        <v>380552</v>
      </c>
      <c r="B250" t="s">
        <v>281</v>
      </c>
      <c r="C250" s="5">
        <v>44327</v>
      </c>
      <c r="D250" t="s">
        <v>122</v>
      </c>
      <c r="E250">
        <v>0</v>
      </c>
      <c r="F250">
        <v>7.3328000000000004E-3</v>
      </c>
      <c r="G250">
        <v>0</v>
      </c>
      <c r="H250">
        <v>2790.5106251000002</v>
      </c>
      <c r="I250">
        <v>2790.5106251000002</v>
      </c>
    </row>
    <row r="251" spans="1:9" x14ac:dyDescent="0.2">
      <c r="A251">
        <v>25000</v>
      </c>
      <c r="B251" t="s">
        <v>281</v>
      </c>
      <c r="C251" s="5">
        <v>44471</v>
      </c>
      <c r="D251" t="s">
        <v>158</v>
      </c>
      <c r="E251">
        <v>0</v>
      </c>
      <c r="F251">
        <v>7.3328000000000004E-3</v>
      </c>
      <c r="G251">
        <v>0</v>
      </c>
      <c r="H251">
        <v>183.31992901999999</v>
      </c>
      <c r="I251">
        <v>183.31992901999999</v>
      </c>
    </row>
    <row r="252" spans="1:9" x14ac:dyDescent="0.2">
      <c r="A252">
        <v>25000</v>
      </c>
      <c r="B252" t="s">
        <v>281</v>
      </c>
      <c r="C252" s="5">
        <v>44471</v>
      </c>
      <c r="D252" t="s">
        <v>127</v>
      </c>
      <c r="E252">
        <v>0</v>
      </c>
      <c r="F252">
        <v>7.3328000000000004E-3</v>
      </c>
      <c r="G252">
        <v>0</v>
      </c>
      <c r="H252">
        <v>183.31992901999999</v>
      </c>
      <c r="I252">
        <v>183.31992901999999</v>
      </c>
    </row>
    <row r="253" spans="1:9" x14ac:dyDescent="0.2">
      <c r="A253">
        <v>22569</v>
      </c>
      <c r="B253" t="s">
        <v>281</v>
      </c>
      <c r="C253" s="5">
        <v>44472</v>
      </c>
      <c r="D253" t="s">
        <v>158</v>
      </c>
      <c r="E253">
        <v>0</v>
      </c>
      <c r="F253">
        <v>7.3328000000000004E-3</v>
      </c>
      <c r="G253">
        <v>0</v>
      </c>
      <c r="H253">
        <v>165.49389912000001</v>
      </c>
      <c r="I253">
        <v>165.49389912000001</v>
      </c>
    </row>
    <row r="254" spans="1:9" x14ac:dyDescent="0.2">
      <c r="A254">
        <v>22569</v>
      </c>
      <c r="B254" t="s">
        <v>281</v>
      </c>
      <c r="C254" s="5">
        <v>44472</v>
      </c>
      <c r="D254" t="s">
        <v>127</v>
      </c>
      <c r="E254">
        <v>0</v>
      </c>
      <c r="F254">
        <v>7.3328000000000004E-3</v>
      </c>
      <c r="G254">
        <v>0</v>
      </c>
      <c r="H254">
        <v>165.49389912000001</v>
      </c>
      <c r="I254">
        <v>165.49389912000001</v>
      </c>
    </row>
    <row r="255" spans="1:9" x14ac:dyDescent="0.2">
      <c r="A255">
        <v>7.6999999999999996E-4</v>
      </c>
      <c r="B255" t="s">
        <v>282</v>
      </c>
      <c r="C255" s="5">
        <v>44310</v>
      </c>
      <c r="D255" t="s">
        <v>152</v>
      </c>
      <c r="E255">
        <v>0</v>
      </c>
      <c r="F255">
        <v>0.27654378000000002</v>
      </c>
      <c r="G255">
        <v>0</v>
      </c>
      <c r="H255">
        <v>2.1294E-4</v>
      </c>
      <c r="I255">
        <v>2.1294E-4</v>
      </c>
    </row>
    <row r="256" spans="1:9" x14ac:dyDescent="0.2">
      <c r="A256">
        <v>834601.00049999997</v>
      </c>
      <c r="B256" t="s">
        <v>283</v>
      </c>
      <c r="C256" s="5">
        <v>44200</v>
      </c>
      <c r="D256" t="s">
        <v>152</v>
      </c>
      <c r="E256">
        <v>0</v>
      </c>
      <c r="F256">
        <v>2.8390209999999999E-2</v>
      </c>
      <c r="G256">
        <v>0</v>
      </c>
      <c r="H256">
        <v>23694.49475985</v>
      </c>
      <c r="I256">
        <v>23694.49475985</v>
      </c>
    </row>
    <row r="257" spans="1:9" x14ac:dyDescent="0.2">
      <c r="A257">
        <v>3401.119518</v>
      </c>
      <c r="B257" t="s">
        <v>284</v>
      </c>
      <c r="C257" s="5">
        <v>44314</v>
      </c>
      <c r="D257" t="s">
        <v>152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2">
      <c r="A258">
        <v>2577.191311</v>
      </c>
      <c r="B258" t="s">
        <v>284</v>
      </c>
      <c r="C258" s="5">
        <v>44338</v>
      </c>
      <c r="D258" t="s">
        <v>152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2">
      <c r="A259">
        <v>200000</v>
      </c>
      <c r="B259" t="s">
        <v>285</v>
      </c>
      <c r="C259" s="5">
        <v>44312</v>
      </c>
      <c r="D259" t="s">
        <v>122</v>
      </c>
      <c r="E259">
        <v>0</v>
      </c>
      <c r="F259">
        <v>1.5910379999999998E-2</v>
      </c>
      <c r="G259">
        <v>0</v>
      </c>
      <c r="H259">
        <v>3182.0765721900002</v>
      </c>
      <c r="I259">
        <v>3182.0765721900002</v>
      </c>
    </row>
    <row r="260" spans="1:9" x14ac:dyDescent="0.2">
      <c r="A260">
        <v>1.8372000000000001E-4</v>
      </c>
      <c r="B260" t="s">
        <v>286</v>
      </c>
      <c r="C260" s="5">
        <v>43671</v>
      </c>
      <c r="D260" t="s">
        <v>132</v>
      </c>
      <c r="E260">
        <v>0</v>
      </c>
      <c r="F260">
        <v>201.21463395999999</v>
      </c>
      <c r="G260">
        <v>0</v>
      </c>
      <c r="H260">
        <v>3.6967149999999997E-2</v>
      </c>
      <c r="I260">
        <v>3.6967149999999997E-2</v>
      </c>
    </row>
    <row r="261" spans="1:9" x14ac:dyDescent="0.2">
      <c r="A261">
        <v>6.8529999999999998</v>
      </c>
      <c r="B261" t="s">
        <v>287</v>
      </c>
      <c r="C261" s="5">
        <v>44225</v>
      </c>
      <c r="D261" t="s">
        <v>150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2">
      <c r="A262">
        <v>10937.6</v>
      </c>
      <c r="B262" t="s">
        <v>288</v>
      </c>
      <c r="C262" s="5">
        <v>44229</v>
      </c>
      <c r="D262" t="s">
        <v>152</v>
      </c>
      <c r="E262">
        <v>0</v>
      </c>
      <c r="F262">
        <v>0.23753403000000001</v>
      </c>
      <c r="G262">
        <v>0</v>
      </c>
      <c r="H262">
        <v>2598.0521659599999</v>
      </c>
      <c r="I262">
        <v>2598.0521659599999</v>
      </c>
    </row>
    <row r="263" spans="1:9" x14ac:dyDescent="0.2">
      <c r="A263">
        <v>85000</v>
      </c>
      <c r="B263" t="s">
        <v>289</v>
      </c>
      <c r="C263" s="5">
        <v>44272</v>
      </c>
      <c r="D263" t="s">
        <v>122</v>
      </c>
      <c r="E263">
        <v>0</v>
      </c>
      <c r="F263">
        <v>7.4556880000000006E-2</v>
      </c>
      <c r="G263">
        <v>0</v>
      </c>
      <c r="H263">
        <v>6337.3350034799996</v>
      </c>
      <c r="I263">
        <v>6337.3350034799996</v>
      </c>
    </row>
    <row r="264" spans="1:9" x14ac:dyDescent="0.2">
      <c r="A264">
        <v>104000</v>
      </c>
      <c r="B264" t="s">
        <v>290</v>
      </c>
      <c r="C264" s="5">
        <v>44279</v>
      </c>
      <c r="D264" t="s">
        <v>122</v>
      </c>
      <c r="E264">
        <v>0</v>
      </c>
      <c r="F264">
        <v>0.21332065</v>
      </c>
      <c r="G264">
        <v>0</v>
      </c>
      <c r="H264">
        <v>22185.347182050002</v>
      </c>
      <c r="I264">
        <v>22185.347182050002</v>
      </c>
    </row>
    <row r="265" spans="1:9" x14ac:dyDescent="0.2">
      <c r="A265">
        <v>762.60837321999998</v>
      </c>
      <c r="B265" t="s">
        <v>291</v>
      </c>
      <c r="C265" s="5">
        <v>44482</v>
      </c>
      <c r="D265" t="s">
        <v>152</v>
      </c>
      <c r="E265">
        <v>0</v>
      </c>
      <c r="F265">
        <v>6.2830000000000007E-5</v>
      </c>
      <c r="G265">
        <v>0</v>
      </c>
      <c r="H265">
        <v>4.7912879999999998E-2</v>
      </c>
      <c r="I265">
        <v>4.7912879999999998E-2</v>
      </c>
    </row>
    <row r="266" spans="1:9" x14ac:dyDescent="0.2">
      <c r="A266">
        <v>24535.22</v>
      </c>
      <c r="B266" t="s">
        <v>292</v>
      </c>
      <c r="C266" s="5">
        <v>44229</v>
      </c>
      <c r="D266" t="s">
        <v>122</v>
      </c>
      <c r="E266">
        <v>0</v>
      </c>
      <c r="F266">
        <v>0.40977883999999998</v>
      </c>
      <c r="G266">
        <v>0</v>
      </c>
      <c r="H266">
        <v>10054.013966230001</v>
      </c>
      <c r="I266">
        <v>10054.013966230001</v>
      </c>
    </row>
    <row r="267" spans="1:9" x14ac:dyDescent="0.2">
      <c r="A267">
        <v>41.000019999999999</v>
      </c>
      <c r="B267" t="s">
        <v>293</v>
      </c>
      <c r="C267" s="5">
        <v>44226</v>
      </c>
      <c r="D267" t="s">
        <v>132</v>
      </c>
      <c r="E267">
        <v>0</v>
      </c>
      <c r="F267">
        <v>0.73044134000000005</v>
      </c>
      <c r="G267">
        <v>0</v>
      </c>
      <c r="H267">
        <v>29.948109500000001</v>
      </c>
      <c r="I267">
        <v>29.948109500000001</v>
      </c>
    </row>
    <row r="268" spans="1:9" x14ac:dyDescent="0.2">
      <c r="A268">
        <v>4500891.83024</v>
      </c>
      <c r="B268" t="s">
        <v>294</v>
      </c>
      <c r="C268" s="5">
        <v>43404</v>
      </c>
      <c r="D268" t="s">
        <v>295</v>
      </c>
      <c r="E268">
        <v>0</v>
      </c>
      <c r="F268">
        <v>7.0449800000000002E-3</v>
      </c>
      <c r="G268">
        <v>0</v>
      </c>
      <c r="H268">
        <v>31708.698542689999</v>
      </c>
      <c r="I268">
        <v>31708.698542689999</v>
      </c>
    </row>
    <row r="269" spans="1:9" x14ac:dyDescent="0.2">
      <c r="A269">
        <v>65426.13080649</v>
      </c>
      <c r="B269" t="s">
        <v>296</v>
      </c>
      <c r="C269" s="5">
        <v>44499</v>
      </c>
      <c r="D269" t="s">
        <v>147</v>
      </c>
      <c r="E269">
        <v>0</v>
      </c>
      <c r="F269">
        <v>8.9132800000000009E-3</v>
      </c>
      <c r="G269">
        <v>0</v>
      </c>
      <c r="H269">
        <v>583.16149626000004</v>
      </c>
      <c r="I269">
        <v>583.16149626000004</v>
      </c>
    </row>
    <row r="270" spans="1:9" x14ac:dyDescent="0.2">
      <c r="A270">
        <v>50928.86008649</v>
      </c>
      <c r="B270" t="s">
        <v>297</v>
      </c>
      <c r="C270" s="5">
        <v>44544</v>
      </c>
      <c r="D270" t="s">
        <v>152</v>
      </c>
      <c r="E270">
        <v>0</v>
      </c>
      <c r="F270">
        <v>0.87867912000000004</v>
      </c>
      <c r="G270">
        <v>0</v>
      </c>
      <c r="H270">
        <v>44750.126199049999</v>
      </c>
      <c r="I270">
        <v>44750.126199049999</v>
      </c>
    </row>
    <row r="271" spans="1:9" x14ac:dyDescent="0.2">
      <c r="A271">
        <v>83856.664711320002</v>
      </c>
      <c r="B271" t="s">
        <v>297</v>
      </c>
      <c r="C271" s="5">
        <v>44544</v>
      </c>
      <c r="D271" t="s">
        <v>184</v>
      </c>
      <c r="E271">
        <v>0</v>
      </c>
      <c r="F271">
        <v>0.87867912000000004</v>
      </c>
      <c r="G271">
        <v>0</v>
      </c>
      <c r="H271">
        <v>73683.100742680006</v>
      </c>
      <c r="I271">
        <v>73683.100742680006</v>
      </c>
    </row>
    <row r="272" spans="1:9" x14ac:dyDescent="0.2">
      <c r="A272">
        <v>123.6611115</v>
      </c>
      <c r="B272" t="s">
        <v>297</v>
      </c>
      <c r="C272" s="5">
        <v>44550</v>
      </c>
      <c r="D272" t="s">
        <v>184</v>
      </c>
      <c r="E272">
        <v>0</v>
      </c>
      <c r="F272">
        <v>0.87867912000000004</v>
      </c>
      <c r="G272">
        <v>0</v>
      </c>
      <c r="H272">
        <v>108.65843719999999</v>
      </c>
      <c r="I272">
        <v>108.65843719999999</v>
      </c>
    </row>
    <row r="273" spans="1:9" x14ac:dyDescent="0.2">
      <c r="A273">
        <v>15.245228750000001</v>
      </c>
      <c r="B273" t="s">
        <v>297</v>
      </c>
      <c r="C273" s="5">
        <v>44561</v>
      </c>
      <c r="D273" t="s">
        <v>184</v>
      </c>
      <c r="E273">
        <v>0</v>
      </c>
      <c r="F273">
        <v>0.87867912000000004</v>
      </c>
      <c r="G273">
        <v>0</v>
      </c>
      <c r="H273">
        <v>13.395664249999999</v>
      </c>
      <c r="I273">
        <v>13.395664249999999</v>
      </c>
    </row>
    <row r="274" spans="1:9" x14ac:dyDescent="0.2">
      <c r="A274">
        <v>868000</v>
      </c>
      <c r="B274" t="s">
        <v>298</v>
      </c>
      <c r="C274" s="5">
        <v>44301</v>
      </c>
      <c r="D274" t="s">
        <v>122</v>
      </c>
      <c r="E274">
        <v>0</v>
      </c>
      <c r="F274">
        <v>1.8467799999999999E-3</v>
      </c>
      <c r="G274">
        <v>0</v>
      </c>
      <c r="H274">
        <v>1603.0026013300001</v>
      </c>
      <c r="I274">
        <v>1603.0026013300001</v>
      </c>
    </row>
    <row r="275" spans="1:9" x14ac:dyDescent="0.2">
      <c r="A275">
        <v>0.12086444</v>
      </c>
      <c r="B275" t="s">
        <v>299</v>
      </c>
      <c r="C275" s="5">
        <v>44554</v>
      </c>
      <c r="D275" t="s">
        <v>152</v>
      </c>
      <c r="E275">
        <v>0</v>
      </c>
      <c r="F275">
        <v>3.656939E-2</v>
      </c>
      <c r="G275">
        <v>0</v>
      </c>
      <c r="H275">
        <v>4.4199399999999998E-3</v>
      </c>
      <c r="I275">
        <v>4.4199399999999998E-3</v>
      </c>
    </row>
    <row r="276" spans="1:9" x14ac:dyDescent="0.2">
      <c r="A276">
        <v>1</v>
      </c>
      <c r="B276" t="s">
        <v>300</v>
      </c>
      <c r="C276" s="5">
        <v>44443</v>
      </c>
      <c r="D276" t="s">
        <v>152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2">
      <c r="A277">
        <v>300000</v>
      </c>
      <c r="B277" t="s">
        <v>301</v>
      </c>
      <c r="C277" s="5">
        <v>44512</v>
      </c>
      <c r="D277" t="s">
        <v>184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2">
      <c r="A278">
        <v>17500.1636</v>
      </c>
      <c r="B278" t="s">
        <v>302</v>
      </c>
      <c r="C278" s="5">
        <v>44119</v>
      </c>
      <c r="D278" t="s">
        <v>124</v>
      </c>
      <c r="E278">
        <v>0</v>
      </c>
      <c r="F278">
        <v>2.171789E-2</v>
      </c>
      <c r="G278">
        <v>0</v>
      </c>
      <c r="H278">
        <v>380.06669356999998</v>
      </c>
      <c r="I278">
        <v>380.06669356999998</v>
      </c>
    </row>
    <row r="279" spans="1:9" x14ac:dyDescent="0.2">
      <c r="A279">
        <v>200</v>
      </c>
      <c r="B279" t="s">
        <v>303</v>
      </c>
      <c r="C279" s="5">
        <v>44343</v>
      </c>
      <c r="D279" t="s">
        <v>124</v>
      </c>
      <c r="E279">
        <v>0</v>
      </c>
      <c r="F279">
        <v>0.34600342000000001</v>
      </c>
      <c r="G279">
        <v>0</v>
      </c>
      <c r="H279">
        <v>69.200683909999995</v>
      </c>
      <c r="I279">
        <v>69.200683909999995</v>
      </c>
    </row>
    <row r="280" spans="1:9" x14ac:dyDescent="0.2">
      <c r="A280">
        <v>103842</v>
      </c>
      <c r="B280" t="s">
        <v>304</v>
      </c>
      <c r="C280" s="5">
        <v>43812</v>
      </c>
      <c r="D280" t="s">
        <v>305</v>
      </c>
      <c r="E280">
        <v>0</v>
      </c>
      <c r="F280">
        <v>1.67094947</v>
      </c>
      <c r="G280">
        <v>0</v>
      </c>
      <c r="H280">
        <v>173514.73459598</v>
      </c>
      <c r="I280">
        <v>173514.73459598</v>
      </c>
    </row>
    <row r="281" spans="1:9" x14ac:dyDescent="0.2">
      <c r="A281">
        <v>262221</v>
      </c>
      <c r="B281" t="s">
        <v>306</v>
      </c>
      <c r="C281" s="5">
        <v>44030</v>
      </c>
      <c r="D281" t="s">
        <v>152</v>
      </c>
      <c r="E281">
        <v>0</v>
      </c>
      <c r="F281">
        <v>2.9719849999999999E-2</v>
      </c>
      <c r="G281">
        <v>0</v>
      </c>
      <c r="H281">
        <v>7793.1695498400004</v>
      </c>
      <c r="I281">
        <v>7793.1695498400004</v>
      </c>
    </row>
    <row r="282" spans="1:9" x14ac:dyDescent="0.2">
      <c r="A282">
        <v>1.78</v>
      </c>
      <c r="B282" t="s">
        <v>307</v>
      </c>
      <c r="C282" s="5">
        <v>44231</v>
      </c>
      <c r="D282" t="s">
        <v>150</v>
      </c>
      <c r="E282">
        <v>0</v>
      </c>
      <c r="F282">
        <v>0.10142244</v>
      </c>
      <c r="G282">
        <v>0</v>
      </c>
      <c r="H282">
        <v>0.18053193000000001</v>
      </c>
      <c r="I282">
        <v>0.18053193000000001</v>
      </c>
    </row>
    <row r="283" spans="1:9" x14ac:dyDescent="0.2">
      <c r="A283">
        <v>5.4342352900000002</v>
      </c>
      <c r="B283" t="s">
        <v>308</v>
      </c>
      <c r="C283" s="5">
        <v>44064</v>
      </c>
      <c r="D283" t="s">
        <v>147</v>
      </c>
      <c r="E283">
        <v>0</v>
      </c>
      <c r="F283">
        <v>3235.15920104</v>
      </c>
      <c r="G283">
        <v>0</v>
      </c>
      <c r="H283">
        <v>17580.61629908</v>
      </c>
      <c r="I283">
        <v>17580.61629908</v>
      </c>
    </row>
    <row r="284" spans="1:9" x14ac:dyDescent="0.2">
      <c r="A284">
        <v>8.3529279999999997E-2</v>
      </c>
      <c r="B284" t="s">
        <v>308</v>
      </c>
      <c r="C284" s="5">
        <v>44068</v>
      </c>
      <c r="D284" t="s">
        <v>124</v>
      </c>
      <c r="E284">
        <v>0</v>
      </c>
      <c r="F284">
        <v>3235.15920104</v>
      </c>
      <c r="G284">
        <v>0</v>
      </c>
      <c r="H284">
        <v>270.23051874999999</v>
      </c>
      <c r="I284">
        <v>270.23051874999999</v>
      </c>
    </row>
    <row r="285" spans="1:9" x14ac:dyDescent="0.2">
      <c r="A285">
        <v>3.5289094799999998</v>
      </c>
      <c r="B285" t="s">
        <v>308</v>
      </c>
      <c r="C285" s="5">
        <v>44079</v>
      </c>
      <c r="D285" t="s">
        <v>147</v>
      </c>
      <c r="E285">
        <v>0</v>
      </c>
      <c r="F285">
        <v>3235.15920104</v>
      </c>
      <c r="G285">
        <v>0</v>
      </c>
      <c r="H285">
        <v>11416.58397388</v>
      </c>
      <c r="I285">
        <v>11416.58397388</v>
      </c>
    </row>
    <row r="286" spans="1:9" x14ac:dyDescent="0.2">
      <c r="A286">
        <v>28.734471620000001</v>
      </c>
      <c r="B286" t="s">
        <v>308</v>
      </c>
      <c r="C286" s="5">
        <v>44085</v>
      </c>
      <c r="D286" t="s">
        <v>152</v>
      </c>
      <c r="E286">
        <v>0</v>
      </c>
      <c r="F286">
        <v>3235.15920104</v>
      </c>
      <c r="G286">
        <v>0</v>
      </c>
      <c r="H286">
        <v>92960.590248590001</v>
      </c>
      <c r="I286">
        <v>92960.590248590001</v>
      </c>
    </row>
    <row r="287" spans="1:9" x14ac:dyDescent="0.2">
      <c r="A287">
        <v>14.86789954</v>
      </c>
      <c r="B287" t="s">
        <v>308</v>
      </c>
      <c r="C287" s="5">
        <v>44086</v>
      </c>
      <c r="D287" t="s">
        <v>147</v>
      </c>
      <c r="E287">
        <v>0</v>
      </c>
      <c r="F287">
        <v>3235.15920104</v>
      </c>
      <c r="G287">
        <v>0</v>
      </c>
      <c r="H287">
        <v>48100.021997039999</v>
      </c>
      <c r="I287">
        <v>48100.021997039999</v>
      </c>
    </row>
    <row r="288" spans="1:9" x14ac:dyDescent="0.2">
      <c r="A288">
        <v>25</v>
      </c>
      <c r="B288" t="s">
        <v>308</v>
      </c>
      <c r="C288" s="5">
        <v>44089</v>
      </c>
      <c r="D288" t="s">
        <v>152</v>
      </c>
      <c r="E288">
        <v>0</v>
      </c>
      <c r="F288">
        <v>3235.15920104</v>
      </c>
      <c r="G288">
        <v>0</v>
      </c>
      <c r="H288">
        <v>80878.980026110003</v>
      </c>
      <c r="I288">
        <v>80878.980026110003</v>
      </c>
    </row>
    <row r="289" spans="1:9" x14ac:dyDescent="0.2">
      <c r="A289">
        <v>24.579718159999999</v>
      </c>
      <c r="B289" t="s">
        <v>308</v>
      </c>
      <c r="C289" s="5">
        <v>44092</v>
      </c>
      <c r="D289" t="s">
        <v>147</v>
      </c>
      <c r="E289">
        <v>0</v>
      </c>
      <c r="F289">
        <v>3235.15920104</v>
      </c>
      <c r="G289">
        <v>0</v>
      </c>
      <c r="H289">
        <v>79519.301364400002</v>
      </c>
      <c r="I289">
        <v>79519.301364400002</v>
      </c>
    </row>
    <row r="290" spans="1:9" x14ac:dyDescent="0.2">
      <c r="A290">
        <v>15.819427259999999</v>
      </c>
      <c r="B290" t="s">
        <v>308</v>
      </c>
      <c r="C290" s="5">
        <v>44092</v>
      </c>
      <c r="D290" t="s">
        <v>124</v>
      </c>
      <c r="E290">
        <v>0</v>
      </c>
      <c r="F290">
        <v>3235.15920104</v>
      </c>
      <c r="G290">
        <v>0</v>
      </c>
      <c r="H290">
        <v>51178.36565544</v>
      </c>
      <c r="I290">
        <v>51178.36565544</v>
      </c>
    </row>
    <row r="291" spans="1:9" x14ac:dyDescent="0.2">
      <c r="A291">
        <v>14.988277950000001</v>
      </c>
      <c r="B291" t="s">
        <v>308</v>
      </c>
      <c r="C291" s="5">
        <v>44092</v>
      </c>
      <c r="D291" t="s">
        <v>152</v>
      </c>
      <c r="E291">
        <v>0</v>
      </c>
      <c r="F291">
        <v>3235.15920104</v>
      </c>
      <c r="G291">
        <v>0</v>
      </c>
      <c r="H291">
        <v>48489.46531775</v>
      </c>
      <c r="I291">
        <v>48489.46531775</v>
      </c>
    </row>
    <row r="292" spans="1:9" x14ac:dyDescent="0.2">
      <c r="A292">
        <v>20.803953589999999</v>
      </c>
      <c r="B292" t="s">
        <v>308</v>
      </c>
      <c r="C292" s="5">
        <v>44093</v>
      </c>
      <c r="D292" t="s">
        <v>124</v>
      </c>
      <c r="E292">
        <v>0</v>
      </c>
      <c r="F292">
        <v>3235.15920104</v>
      </c>
      <c r="G292">
        <v>0</v>
      </c>
      <c r="H292">
        <v>67304.101874789994</v>
      </c>
      <c r="I292">
        <v>67304.101874789994</v>
      </c>
    </row>
    <row r="293" spans="1:9" x14ac:dyDescent="0.2">
      <c r="A293">
        <v>31.254400830000002</v>
      </c>
      <c r="B293" t="s">
        <v>308</v>
      </c>
      <c r="C293" s="5">
        <v>44094</v>
      </c>
      <c r="D293" t="s">
        <v>147</v>
      </c>
      <c r="E293">
        <v>0</v>
      </c>
      <c r="F293">
        <v>3235.15920104</v>
      </c>
      <c r="G293">
        <v>0</v>
      </c>
      <c r="H293">
        <v>101112.96241830999</v>
      </c>
      <c r="I293">
        <v>101112.96241830999</v>
      </c>
    </row>
    <row r="294" spans="1:9" x14ac:dyDescent="0.2">
      <c r="A294">
        <v>6.1437106400000001</v>
      </c>
      <c r="B294" t="s">
        <v>308</v>
      </c>
      <c r="C294" s="5">
        <v>44095</v>
      </c>
      <c r="D294" t="s">
        <v>152</v>
      </c>
      <c r="E294">
        <v>0</v>
      </c>
      <c r="F294">
        <v>3235.15920104</v>
      </c>
      <c r="G294">
        <v>0</v>
      </c>
      <c r="H294">
        <v>19875.88200555</v>
      </c>
      <c r="I294">
        <v>19875.88200555</v>
      </c>
    </row>
    <row r="295" spans="1:9" x14ac:dyDescent="0.2">
      <c r="A295">
        <v>7.5233936000000003</v>
      </c>
      <c r="B295" t="s">
        <v>308</v>
      </c>
      <c r="C295" s="5">
        <v>44095</v>
      </c>
      <c r="D295" t="s">
        <v>147</v>
      </c>
      <c r="E295">
        <v>0</v>
      </c>
      <c r="F295">
        <v>3235.15920104</v>
      </c>
      <c r="G295">
        <v>0</v>
      </c>
      <c r="H295">
        <v>24339.376028120001</v>
      </c>
      <c r="I295">
        <v>24339.376028120001</v>
      </c>
    </row>
    <row r="296" spans="1:9" x14ac:dyDescent="0.2">
      <c r="A296">
        <v>27.010529999999999</v>
      </c>
      <c r="B296" t="s">
        <v>308</v>
      </c>
      <c r="C296" s="5">
        <v>44096</v>
      </c>
      <c r="D296" t="s">
        <v>150</v>
      </c>
      <c r="E296">
        <v>0</v>
      </c>
      <c r="F296">
        <v>3235.15920104</v>
      </c>
      <c r="G296">
        <v>0</v>
      </c>
      <c r="H296">
        <v>87383.364654589997</v>
      </c>
      <c r="I296">
        <v>87383.364654589997</v>
      </c>
    </row>
    <row r="297" spans="1:9" x14ac:dyDescent="0.2">
      <c r="A297">
        <v>0.6</v>
      </c>
      <c r="B297" t="s">
        <v>308</v>
      </c>
      <c r="C297" s="5">
        <v>44096</v>
      </c>
      <c r="D297" t="s">
        <v>132</v>
      </c>
      <c r="E297">
        <v>0</v>
      </c>
      <c r="F297">
        <v>3235.15920104</v>
      </c>
      <c r="G297">
        <v>0</v>
      </c>
      <c r="H297">
        <v>1941.09552063</v>
      </c>
      <c r="I297">
        <v>1941.09552063</v>
      </c>
    </row>
    <row r="298" spans="1:9" x14ac:dyDescent="0.2">
      <c r="A298">
        <v>49.895898590000002</v>
      </c>
      <c r="B298" t="s">
        <v>308</v>
      </c>
      <c r="C298" s="5">
        <v>44103</v>
      </c>
      <c r="D298" t="s">
        <v>152</v>
      </c>
      <c r="E298">
        <v>0</v>
      </c>
      <c r="F298">
        <v>3235.15920104</v>
      </c>
      <c r="G298">
        <v>0</v>
      </c>
      <c r="H298">
        <v>161421.17541781999</v>
      </c>
      <c r="I298">
        <v>161421.17541781999</v>
      </c>
    </row>
    <row r="299" spans="1:9" x14ac:dyDescent="0.2">
      <c r="A299">
        <v>40.920881600000001</v>
      </c>
      <c r="B299" t="s">
        <v>308</v>
      </c>
      <c r="C299" s="5">
        <v>44105</v>
      </c>
      <c r="D299" t="s">
        <v>152</v>
      </c>
      <c r="E299">
        <v>0</v>
      </c>
      <c r="F299">
        <v>3235.15920104</v>
      </c>
      <c r="G299">
        <v>0</v>
      </c>
      <c r="H299">
        <v>132385.56662309001</v>
      </c>
      <c r="I299">
        <v>132385.56662309001</v>
      </c>
    </row>
    <row r="300" spans="1:9" x14ac:dyDescent="0.2">
      <c r="A300">
        <v>38.427875700000001</v>
      </c>
      <c r="B300" t="s">
        <v>308</v>
      </c>
      <c r="C300" s="5">
        <v>44106</v>
      </c>
      <c r="D300" t="s">
        <v>147</v>
      </c>
      <c r="E300">
        <v>0</v>
      </c>
      <c r="F300">
        <v>3235.15920104</v>
      </c>
      <c r="G300">
        <v>0</v>
      </c>
      <c r="H300">
        <v>124320.29564745</v>
      </c>
      <c r="I300">
        <v>124320.29564745</v>
      </c>
    </row>
    <row r="301" spans="1:9" x14ac:dyDescent="0.2">
      <c r="A301">
        <v>9.2638632100000002</v>
      </c>
      <c r="B301" t="s">
        <v>308</v>
      </c>
      <c r="C301" s="5">
        <v>44120</v>
      </c>
      <c r="D301" t="s">
        <v>147</v>
      </c>
      <c r="E301">
        <v>0</v>
      </c>
      <c r="F301">
        <v>3235.15920104</v>
      </c>
      <c r="G301">
        <v>0</v>
      </c>
      <c r="H301">
        <v>29970.072301050001</v>
      </c>
      <c r="I301">
        <v>29970.072301050001</v>
      </c>
    </row>
    <row r="302" spans="1:9" x14ac:dyDescent="0.2">
      <c r="A302">
        <v>1.7524319900000001</v>
      </c>
      <c r="B302" t="s">
        <v>308</v>
      </c>
      <c r="C302" s="5">
        <v>44132</v>
      </c>
      <c r="D302" t="s">
        <v>147</v>
      </c>
      <c r="E302">
        <v>0</v>
      </c>
      <c r="F302">
        <v>3235.15920104</v>
      </c>
      <c r="G302">
        <v>0</v>
      </c>
      <c r="H302">
        <v>5669.3964766500003</v>
      </c>
      <c r="I302">
        <v>5669.3964766500003</v>
      </c>
    </row>
    <row r="303" spans="1:9" x14ac:dyDescent="0.2">
      <c r="A303">
        <v>9.4212962000000005</v>
      </c>
      <c r="B303" t="s">
        <v>308</v>
      </c>
      <c r="C303" s="5">
        <v>44148</v>
      </c>
      <c r="D303" t="s">
        <v>147</v>
      </c>
      <c r="E303">
        <v>0</v>
      </c>
      <c r="F303">
        <v>3235.15920104</v>
      </c>
      <c r="G303">
        <v>0</v>
      </c>
      <c r="H303">
        <v>30479.393087199998</v>
      </c>
      <c r="I303">
        <v>30479.393087199998</v>
      </c>
    </row>
    <row r="304" spans="1:9" x14ac:dyDescent="0.2">
      <c r="A304">
        <v>16.084097379999999</v>
      </c>
      <c r="B304" t="s">
        <v>308</v>
      </c>
      <c r="C304" s="5">
        <v>44148</v>
      </c>
      <c r="D304" t="s">
        <v>152</v>
      </c>
      <c r="E304">
        <v>0</v>
      </c>
      <c r="F304">
        <v>3235.15920104</v>
      </c>
      <c r="G304">
        <v>0</v>
      </c>
      <c r="H304">
        <v>52034.615629400003</v>
      </c>
      <c r="I304">
        <v>52034.615629400003</v>
      </c>
    </row>
    <row r="305" spans="1:9" x14ac:dyDescent="0.2">
      <c r="A305">
        <v>0.39065517</v>
      </c>
      <c r="B305" t="s">
        <v>308</v>
      </c>
      <c r="C305" s="5">
        <v>44157</v>
      </c>
      <c r="D305" t="s">
        <v>152</v>
      </c>
      <c r="E305">
        <v>0</v>
      </c>
      <c r="F305">
        <v>3235.15920104</v>
      </c>
      <c r="G305">
        <v>0</v>
      </c>
      <c r="H305">
        <v>1263.83166766</v>
      </c>
      <c r="I305">
        <v>1263.83166766</v>
      </c>
    </row>
    <row r="306" spans="1:9" x14ac:dyDescent="0.2">
      <c r="A306">
        <v>17.75259363</v>
      </c>
      <c r="B306" t="s">
        <v>308</v>
      </c>
      <c r="C306" s="5">
        <v>44158</v>
      </c>
      <c r="D306" t="s">
        <v>152</v>
      </c>
      <c r="E306">
        <v>0</v>
      </c>
      <c r="F306">
        <v>3235.15920104</v>
      </c>
      <c r="G306">
        <v>0</v>
      </c>
      <c r="H306">
        <v>57432.466624499997</v>
      </c>
      <c r="I306">
        <v>57432.466624499997</v>
      </c>
    </row>
    <row r="307" spans="1:9" x14ac:dyDescent="0.2">
      <c r="A307">
        <v>8.2149400000000004E-3</v>
      </c>
      <c r="B307" t="s">
        <v>308</v>
      </c>
      <c r="C307" s="5">
        <v>44160</v>
      </c>
      <c r="D307" t="s">
        <v>152</v>
      </c>
      <c r="E307">
        <v>0</v>
      </c>
      <c r="F307">
        <v>3235.15920104</v>
      </c>
      <c r="G307">
        <v>0</v>
      </c>
      <c r="H307">
        <v>26.576638729999999</v>
      </c>
      <c r="I307">
        <v>26.576638729999999</v>
      </c>
    </row>
    <row r="308" spans="1:9" x14ac:dyDescent="0.2">
      <c r="A308">
        <v>0.36508576999999998</v>
      </c>
      <c r="B308" t="s">
        <v>308</v>
      </c>
      <c r="C308" s="5">
        <v>44168</v>
      </c>
      <c r="D308" t="s">
        <v>152</v>
      </c>
      <c r="E308">
        <v>0</v>
      </c>
      <c r="F308">
        <v>3235.15920104</v>
      </c>
      <c r="G308">
        <v>0</v>
      </c>
      <c r="H308">
        <v>1181.1105879900001</v>
      </c>
      <c r="I308">
        <v>1181.1105879900001</v>
      </c>
    </row>
    <row r="309" spans="1:9" x14ac:dyDescent="0.2">
      <c r="A309">
        <v>20</v>
      </c>
      <c r="B309" t="s">
        <v>308</v>
      </c>
      <c r="C309" s="5">
        <v>44176</v>
      </c>
      <c r="D309" t="s">
        <v>132</v>
      </c>
      <c r="E309">
        <v>0</v>
      </c>
      <c r="F309">
        <v>3235.15920104</v>
      </c>
      <c r="G309">
        <v>0</v>
      </c>
      <c r="H309">
        <v>64703.184020890003</v>
      </c>
      <c r="I309">
        <v>64703.184020890003</v>
      </c>
    </row>
    <row r="310" spans="1:9" x14ac:dyDescent="0.2">
      <c r="A310">
        <v>0.60188602999999996</v>
      </c>
      <c r="B310" t="s">
        <v>308</v>
      </c>
      <c r="C310" s="5">
        <v>44178</v>
      </c>
      <c r="D310" t="s">
        <v>152</v>
      </c>
      <c r="E310">
        <v>0</v>
      </c>
      <c r="F310">
        <v>3235.15920104</v>
      </c>
      <c r="G310">
        <v>0</v>
      </c>
      <c r="H310">
        <v>1947.1971279300001</v>
      </c>
      <c r="I310">
        <v>1947.1971279300001</v>
      </c>
    </row>
    <row r="311" spans="1:9" x14ac:dyDescent="0.2">
      <c r="A311">
        <v>48</v>
      </c>
      <c r="B311" t="s">
        <v>308</v>
      </c>
      <c r="C311" s="5">
        <v>44187</v>
      </c>
      <c r="D311" t="s">
        <v>132</v>
      </c>
      <c r="E311">
        <v>0</v>
      </c>
      <c r="F311">
        <v>3235.15920104</v>
      </c>
      <c r="G311">
        <v>0</v>
      </c>
      <c r="H311">
        <v>155287.64165013001</v>
      </c>
      <c r="I311">
        <v>155287.64165013001</v>
      </c>
    </row>
    <row r="312" spans="1:9" x14ac:dyDescent="0.2">
      <c r="A312">
        <v>20</v>
      </c>
      <c r="B312" t="s">
        <v>308</v>
      </c>
      <c r="C312" s="5">
        <v>44189</v>
      </c>
      <c r="D312" t="s">
        <v>132</v>
      </c>
      <c r="E312">
        <v>0</v>
      </c>
      <c r="F312">
        <v>3235.15920104</v>
      </c>
      <c r="G312">
        <v>0</v>
      </c>
      <c r="H312">
        <v>64703.184020890003</v>
      </c>
      <c r="I312">
        <v>64703.184020890003</v>
      </c>
    </row>
    <row r="313" spans="1:9" x14ac:dyDescent="0.2">
      <c r="A313">
        <v>1.1328416100000001</v>
      </c>
      <c r="B313" t="s">
        <v>308</v>
      </c>
      <c r="C313" s="5">
        <v>44196</v>
      </c>
      <c r="D313" t="s">
        <v>152</v>
      </c>
      <c r="E313">
        <v>0</v>
      </c>
      <c r="F313">
        <v>3235.15920104</v>
      </c>
      <c r="G313">
        <v>0</v>
      </c>
      <c r="H313">
        <v>3664.92295792</v>
      </c>
      <c r="I313">
        <v>3664.92295792</v>
      </c>
    </row>
    <row r="314" spans="1:9" x14ac:dyDescent="0.2">
      <c r="A314">
        <v>11.727601630000001</v>
      </c>
      <c r="B314" t="s">
        <v>308</v>
      </c>
      <c r="C314" s="5">
        <v>44207</v>
      </c>
      <c r="D314" t="s">
        <v>152</v>
      </c>
      <c r="E314">
        <v>0</v>
      </c>
      <c r="F314">
        <v>3235.15920104</v>
      </c>
      <c r="G314">
        <v>0</v>
      </c>
      <c r="H314">
        <v>37940.658319479997</v>
      </c>
      <c r="I314">
        <v>37940.658319479997</v>
      </c>
    </row>
    <row r="315" spans="1:9" x14ac:dyDescent="0.2">
      <c r="A315">
        <v>2.4358812900000002</v>
      </c>
      <c r="B315" t="s">
        <v>308</v>
      </c>
      <c r="C315" s="5">
        <v>44214</v>
      </c>
      <c r="D315" t="s">
        <v>147</v>
      </c>
      <c r="E315">
        <v>0</v>
      </c>
      <c r="F315">
        <v>3235.15920104</v>
      </c>
      <c r="G315">
        <v>0</v>
      </c>
      <c r="H315">
        <v>7880.4637679999996</v>
      </c>
      <c r="I315">
        <v>7880.4637679999996</v>
      </c>
    </row>
    <row r="316" spans="1:9" x14ac:dyDescent="0.2">
      <c r="A316">
        <v>5.8983181699999996</v>
      </c>
      <c r="B316" t="s">
        <v>308</v>
      </c>
      <c r="C316" s="5">
        <v>44217</v>
      </c>
      <c r="D316" t="s">
        <v>124</v>
      </c>
      <c r="E316">
        <v>0</v>
      </c>
      <c r="F316">
        <v>3235.15920104</v>
      </c>
      <c r="G316">
        <v>0</v>
      </c>
      <c r="H316">
        <v>19081.998298359998</v>
      </c>
      <c r="I316">
        <v>19081.998298359998</v>
      </c>
    </row>
    <row r="317" spans="1:9" x14ac:dyDescent="0.2">
      <c r="A317">
        <v>4.2489176999999998</v>
      </c>
      <c r="B317" t="s">
        <v>308</v>
      </c>
      <c r="C317" s="5">
        <v>44221</v>
      </c>
      <c r="D317" t="s">
        <v>152</v>
      </c>
      <c r="E317">
        <v>0</v>
      </c>
      <c r="F317">
        <v>3235.15920104</v>
      </c>
      <c r="G317">
        <v>0</v>
      </c>
      <c r="H317">
        <v>13745.925191640001</v>
      </c>
      <c r="I317">
        <v>13745.925191640001</v>
      </c>
    </row>
    <row r="318" spans="1:9" x14ac:dyDescent="0.2">
      <c r="A318">
        <v>8.1824152300000002</v>
      </c>
      <c r="B318" t="s">
        <v>308</v>
      </c>
      <c r="C318" s="5">
        <v>44225</v>
      </c>
      <c r="D318" t="s">
        <v>124</v>
      </c>
      <c r="E318">
        <v>0</v>
      </c>
      <c r="F318">
        <v>3235.15920104</v>
      </c>
      <c r="G318">
        <v>0</v>
      </c>
      <c r="H318">
        <v>26471.4159181</v>
      </c>
      <c r="I318">
        <v>26471.4159181</v>
      </c>
    </row>
    <row r="319" spans="1:9" x14ac:dyDescent="0.2">
      <c r="A319">
        <v>3.3346185899999998</v>
      </c>
      <c r="B319" t="s">
        <v>308</v>
      </c>
      <c r="C319" s="5">
        <v>44225</v>
      </c>
      <c r="D319" t="s">
        <v>152</v>
      </c>
      <c r="E319">
        <v>0</v>
      </c>
      <c r="F319">
        <v>3235.15920104</v>
      </c>
      <c r="G319">
        <v>0</v>
      </c>
      <c r="H319">
        <v>10788.02201341</v>
      </c>
      <c r="I319">
        <v>10788.02201341</v>
      </c>
    </row>
    <row r="320" spans="1:9" x14ac:dyDescent="0.2">
      <c r="A320">
        <v>10.724550730000001</v>
      </c>
      <c r="B320" t="s">
        <v>308</v>
      </c>
      <c r="C320" s="5">
        <v>44226</v>
      </c>
      <c r="D320" t="s">
        <v>152</v>
      </c>
      <c r="E320">
        <v>0</v>
      </c>
      <c r="F320">
        <v>3235.15920104</v>
      </c>
      <c r="G320">
        <v>0</v>
      </c>
      <c r="H320">
        <v>34695.628971229999</v>
      </c>
      <c r="I320">
        <v>34695.628971229999</v>
      </c>
    </row>
    <row r="321" spans="1:9" x14ac:dyDescent="0.2">
      <c r="A321">
        <v>7.79202276</v>
      </c>
      <c r="B321" t="s">
        <v>308</v>
      </c>
      <c r="C321" s="5">
        <v>44227</v>
      </c>
      <c r="D321" t="s">
        <v>147</v>
      </c>
      <c r="E321">
        <v>0</v>
      </c>
      <c r="F321">
        <v>3235.15920104</v>
      </c>
      <c r="G321">
        <v>0</v>
      </c>
      <c r="H321">
        <v>25208.434126759999</v>
      </c>
      <c r="I321">
        <v>25208.434126759999</v>
      </c>
    </row>
    <row r="322" spans="1:9" x14ac:dyDescent="0.2">
      <c r="A322">
        <v>3.9405290100000001</v>
      </c>
      <c r="B322" t="s">
        <v>308</v>
      </c>
      <c r="C322" s="5">
        <v>44228</v>
      </c>
      <c r="D322" t="s">
        <v>152</v>
      </c>
      <c r="E322">
        <v>0</v>
      </c>
      <c r="F322">
        <v>3235.15920104</v>
      </c>
      <c r="G322">
        <v>0</v>
      </c>
      <c r="H322">
        <v>12748.23868368</v>
      </c>
      <c r="I322">
        <v>12748.23868368</v>
      </c>
    </row>
    <row r="323" spans="1:9" x14ac:dyDescent="0.2">
      <c r="A323">
        <v>7.3833987199999997</v>
      </c>
      <c r="B323" t="s">
        <v>308</v>
      </c>
      <c r="C323" s="5">
        <v>44232</v>
      </c>
      <c r="D323" t="s">
        <v>152</v>
      </c>
      <c r="E323">
        <v>0</v>
      </c>
      <c r="F323">
        <v>3235.15920104</v>
      </c>
      <c r="G323">
        <v>0</v>
      </c>
      <c r="H323">
        <v>23886.470303990001</v>
      </c>
      <c r="I323">
        <v>23886.470303990001</v>
      </c>
    </row>
    <row r="324" spans="1:9" x14ac:dyDescent="0.2">
      <c r="A324">
        <v>0.17632693999999999</v>
      </c>
      <c r="B324" t="s">
        <v>308</v>
      </c>
      <c r="C324" s="5">
        <v>44234</v>
      </c>
      <c r="D324" t="s">
        <v>189</v>
      </c>
      <c r="E324">
        <v>0</v>
      </c>
      <c r="F324">
        <v>3235.15920104</v>
      </c>
      <c r="G324">
        <v>0</v>
      </c>
      <c r="H324">
        <v>570.44572232999997</v>
      </c>
      <c r="I324">
        <v>570.44572232999997</v>
      </c>
    </row>
    <row r="325" spans="1:9" x14ac:dyDescent="0.2">
      <c r="A325">
        <v>7.8518631000000001</v>
      </c>
      <c r="B325" t="s">
        <v>308</v>
      </c>
      <c r="C325" s="5">
        <v>44234</v>
      </c>
      <c r="D325" t="s">
        <v>152</v>
      </c>
      <c r="E325">
        <v>0</v>
      </c>
      <c r="F325">
        <v>3235.15920104</v>
      </c>
      <c r="G325">
        <v>0</v>
      </c>
      <c r="H325">
        <v>25402.027153309999</v>
      </c>
      <c r="I325">
        <v>25402.027153309999</v>
      </c>
    </row>
    <row r="326" spans="1:9" x14ac:dyDescent="0.2">
      <c r="A326">
        <v>1.49512848</v>
      </c>
      <c r="B326" t="s">
        <v>308</v>
      </c>
      <c r="C326" s="5">
        <v>44239</v>
      </c>
      <c r="D326" t="s">
        <v>147</v>
      </c>
      <c r="E326">
        <v>0</v>
      </c>
      <c r="F326">
        <v>3235.15920104</v>
      </c>
      <c r="G326">
        <v>0</v>
      </c>
      <c r="H326">
        <v>4836.9786588200004</v>
      </c>
      <c r="I326">
        <v>4836.9786588200004</v>
      </c>
    </row>
    <row r="327" spans="1:9" x14ac:dyDescent="0.2">
      <c r="A327">
        <v>12.559575860000001</v>
      </c>
      <c r="B327" t="s">
        <v>308</v>
      </c>
      <c r="C327" s="5">
        <v>44243</v>
      </c>
      <c r="D327" t="s">
        <v>152</v>
      </c>
      <c r="E327">
        <v>0</v>
      </c>
      <c r="F327">
        <v>3235.15920104</v>
      </c>
      <c r="G327">
        <v>0</v>
      </c>
      <c r="H327">
        <v>40632.227404689998</v>
      </c>
      <c r="I327">
        <v>40632.227404689998</v>
      </c>
    </row>
    <row r="328" spans="1:9" x14ac:dyDescent="0.2">
      <c r="A328">
        <v>14.26559445</v>
      </c>
      <c r="B328" t="s">
        <v>308</v>
      </c>
      <c r="C328" s="5">
        <v>44245</v>
      </c>
      <c r="D328" t="s">
        <v>147</v>
      </c>
      <c r="E328">
        <v>0</v>
      </c>
      <c r="F328">
        <v>3235.15920104</v>
      </c>
      <c r="G328">
        <v>0</v>
      </c>
      <c r="H328">
        <v>46151.46914329</v>
      </c>
      <c r="I328">
        <v>46151.46914329</v>
      </c>
    </row>
    <row r="329" spans="1:9" x14ac:dyDescent="0.2">
      <c r="A329">
        <v>0.50880431999999998</v>
      </c>
      <c r="B329" t="s">
        <v>308</v>
      </c>
      <c r="C329" s="5">
        <v>44248</v>
      </c>
      <c r="D329" t="s">
        <v>152</v>
      </c>
      <c r="E329">
        <v>0</v>
      </c>
      <c r="F329">
        <v>3235.15920104</v>
      </c>
      <c r="G329">
        <v>0</v>
      </c>
      <c r="H329">
        <v>1646.0629773799999</v>
      </c>
      <c r="I329">
        <v>1646.0629773799999</v>
      </c>
    </row>
    <row r="330" spans="1:9" x14ac:dyDescent="0.2">
      <c r="A330">
        <v>15.46170856</v>
      </c>
      <c r="B330" t="s">
        <v>308</v>
      </c>
      <c r="C330" s="5">
        <v>44250</v>
      </c>
      <c r="D330" t="s">
        <v>152</v>
      </c>
      <c r="E330">
        <v>0</v>
      </c>
      <c r="F330">
        <v>3235.15920104</v>
      </c>
      <c r="G330">
        <v>0</v>
      </c>
      <c r="H330">
        <v>50021.088711750002</v>
      </c>
      <c r="I330">
        <v>50021.088711750002</v>
      </c>
    </row>
    <row r="331" spans="1:9" x14ac:dyDescent="0.2">
      <c r="A331">
        <v>8.3639057900000005</v>
      </c>
      <c r="B331" t="s">
        <v>308</v>
      </c>
      <c r="C331" s="5">
        <v>44251</v>
      </c>
      <c r="D331" t="s">
        <v>147</v>
      </c>
      <c r="E331">
        <v>0</v>
      </c>
      <c r="F331">
        <v>3235.15920104</v>
      </c>
      <c r="G331">
        <v>0</v>
      </c>
      <c r="H331">
        <v>27058.566773189999</v>
      </c>
      <c r="I331">
        <v>27058.566773189999</v>
      </c>
    </row>
    <row r="332" spans="1:9" x14ac:dyDescent="0.2">
      <c r="A332">
        <v>14.2325847</v>
      </c>
      <c r="B332" t="s">
        <v>308</v>
      </c>
      <c r="C332" s="5">
        <v>44255</v>
      </c>
      <c r="D332" t="s">
        <v>152</v>
      </c>
      <c r="E332">
        <v>0</v>
      </c>
      <c r="F332">
        <v>3235.15920104</v>
      </c>
      <c r="G332">
        <v>0</v>
      </c>
      <c r="H332">
        <v>46044.677346850003</v>
      </c>
      <c r="I332">
        <v>46044.677346850003</v>
      </c>
    </row>
    <row r="333" spans="1:9" x14ac:dyDescent="0.2">
      <c r="A333">
        <v>6.5996913800000003</v>
      </c>
      <c r="B333" t="s">
        <v>308</v>
      </c>
      <c r="C333" s="5">
        <v>44255</v>
      </c>
      <c r="D333" t="s">
        <v>124</v>
      </c>
      <c r="E333">
        <v>0</v>
      </c>
      <c r="F333">
        <v>3235.15920104</v>
      </c>
      <c r="G333">
        <v>0</v>
      </c>
      <c r="H333">
        <v>21351.052292060001</v>
      </c>
      <c r="I333">
        <v>21351.052292060001</v>
      </c>
    </row>
    <row r="334" spans="1:9" x14ac:dyDescent="0.2">
      <c r="A334">
        <v>6.4243094300000001</v>
      </c>
      <c r="B334" t="s">
        <v>308</v>
      </c>
      <c r="C334" s="5">
        <v>44256</v>
      </c>
      <c r="D334" t="s">
        <v>152</v>
      </c>
      <c r="E334">
        <v>0</v>
      </c>
      <c r="F334">
        <v>3235.15920104</v>
      </c>
      <c r="G334">
        <v>0</v>
      </c>
      <c r="H334">
        <v>20783.663762820001</v>
      </c>
      <c r="I334">
        <v>20783.663762820001</v>
      </c>
    </row>
    <row r="335" spans="1:9" x14ac:dyDescent="0.2">
      <c r="A335">
        <v>20.107241590000001</v>
      </c>
      <c r="B335" t="s">
        <v>308</v>
      </c>
      <c r="C335" s="5">
        <v>44256</v>
      </c>
      <c r="D335" t="s">
        <v>147</v>
      </c>
      <c r="E335">
        <v>0</v>
      </c>
      <c r="F335">
        <v>3235.15920104</v>
      </c>
      <c r="G335">
        <v>0</v>
      </c>
      <c r="H335">
        <v>65050.127637509999</v>
      </c>
      <c r="I335">
        <v>65050.127637509999</v>
      </c>
    </row>
    <row r="336" spans="1:9" x14ac:dyDescent="0.2">
      <c r="A336">
        <v>6.71475752</v>
      </c>
      <c r="B336" t="s">
        <v>308</v>
      </c>
      <c r="C336" s="5">
        <v>44258</v>
      </c>
      <c r="D336" t="s">
        <v>152</v>
      </c>
      <c r="E336">
        <v>0</v>
      </c>
      <c r="F336">
        <v>3235.15920104</v>
      </c>
      <c r="G336">
        <v>0</v>
      </c>
      <c r="H336">
        <v>21723.30957361</v>
      </c>
      <c r="I336">
        <v>21723.30957361</v>
      </c>
    </row>
    <row r="337" spans="1:9" x14ac:dyDescent="0.2">
      <c r="A337">
        <v>19.646664229999999</v>
      </c>
      <c r="B337" t="s">
        <v>308</v>
      </c>
      <c r="C337" s="5">
        <v>44259</v>
      </c>
      <c r="D337" t="s">
        <v>152</v>
      </c>
      <c r="E337">
        <v>0</v>
      </c>
      <c r="F337">
        <v>3235.15920104</v>
      </c>
      <c r="G337">
        <v>0</v>
      </c>
      <c r="H337">
        <v>63560.086553519999</v>
      </c>
      <c r="I337">
        <v>63560.086553519999</v>
      </c>
    </row>
    <row r="338" spans="1:9" x14ac:dyDescent="0.2">
      <c r="A338">
        <v>5.4537879199999999</v>
      </c>
      <c r="B338" t="s">
        <v>308</v>
      </c>
      <c r="C338" s="5">
        <v>44260</v>
      </c>
      <c r="D338" t="s">
        <v>152</v>
      </c>
      <c r="E338">
        <v>0</v>
      </c>
      <c r="F338">
        <v>3235.15920104</v>
      </c>
      <c r="G338">
        <v>0</v>
      </c>
      <c r="H338">
        <v>17643.87216993</v>
      </c>
      <c r="I338">
        <v>17643.87216993</v>
      </c>
    </row>
    <row r="339" spans="1:9" x14ac:dyDescent="0.2">
      <c r="A339">
        <v>5.6192442500000004</v>
      </c>
      <c r="B339" t="s">
        <v>308</v>
      </c>
      <c r="C339" s="5">
        <v>44261</v>
      </c>
      <c r="D339" t="s">
        <v>152</v>
      </c>
      <c r="E339">
        <v>0</v>
      </c>
      <c r="F339">
        <v>3235.15920104</v>
      </c>
      <c r="G339">
        <v>0</v>
      </c>
      <c r="H339">
        <v>18179.149738299999</v>
      </c>
      <c r="I339">
        <v>18179.149738299999</v>
      </c>
    </row>
    <row r="340" spans="1:9" x14ac:dyDescent="0.2">
      <c r="A340">
        <v>6.2183062900000001</v>
      </c>
      <c r="B340" t="s">
        <v>308</v>
      </c>
      <c r="C340" s="5">
        <v>44262</v>
      </c>
      <c r="D340" t="s">
        <v>124</v>
      </c>
      <c r="E340">
        <v>0</v>
      </c>
      <c r="F340">
        <v>3235.15920104</v>
      </c>
      <c r="G340">
        <v>0</v>
      </c>
      <c r="H340">
        <v>20117.210809010001</v>
      </c>
      <c r="I340">
        <v>20117.210809010001</v>
      </c>
    </row>
    <row r="341" spans="1:9" x14ac:dyDescent="0.2">
      <c r="A341">
        <v>12.449387720000001</v>
      </c>
      <c r="B341" t="s">
        <v>308</v>
      </c>
      <c r="C341" s="5">
        <v>44265</v>
      </c>
      <c r="D341" t="s">
        <v>152</v>
      </c>
      <c r="E341">
        <v>0</v>
      </c>
      <c r="F341">
        <v>3235.15920104</v>
      </c>
      <c r="G341">
        <v>0</v>
      </c>
      <c r="H341">
        <v>40275.751229729998</v>
      </c>
      <c r="I341">
        <v>40275.751229729998</v>
      </c>
    </row>
    <row r="342" spans="1:9" x14ac:dyDescent="0.2">
      <c r="A342">
        <v>0.22305599000000001</v>
      </c>
      <c r="B342" t="s">
        <v>308</v>
      </c>
      <c r="C342" s="5">
        <v>44266</v>
      </c>
      <c r="D342" t="s">
        <v>152</v>
      </c>
      <c r="E342">
        <v>0</v>
      </c>
      <c r="F342">
        <v>3235.15920104</v>
      </c>
      <c r="G342">
        <v>0</v>
      </c>
      <c r="H342">
        <v>721.62163840000005</v>
      </c>
      <c r="I342">
        <v>721.62163840000005</v>
      </c>
    </row>
    <row r="343" spans="1:9" x14ac:dyDescent="0.2">
      <c r="A343">
        <v>39.349107930000002</v>
      </c>
      <c r="B343" t="s">
        <v>308</v>
      </c>
      <c r="C343" s="5">
        <v>44274</v>
      </c>
      <c r="D343" t="s">
        <v>166</v>
      </c>
      <c r="E343">
        <v>0</v>
      </c>
      <c r="F343">
        <v>3235.15920104</v>
      </c>
      <c r="G343">
        <v>0</v>
      </c>
      <c r="H343">
        <v>127300.62857263</v>
      </c>
      <c r="I343">
        <v>127300.62857263</v>
      </c>
    </row>
    <row r="344" spans="1:9" x14ac:dyDescent="0.2">
      <c r="A344">
        <v>24.105699820000002</v>
      </c>
      <c r="B344" t="s">
        <v>308</v>
      </c>
      <c r="C344" s="5">
        <v>44279</v>
      </c>
      <c r="D344" t="s">
        <v>172</v>
      </c>
      <c r="E344">
        <v>0</v>
      </c>
      <c r="F344">
        <v>3235.15920104</v>
      </c>
      <c r="G344">
        <v>0</v>
      </c>
      <c r="H344">
        <v>77985.776570290007</v>
      </c>
      <c r="I344">
        <v>77985.776570290007</v>
      </c>
    </row>
    <row r="345" spans="1:9" x14ac:dyDescent="0.2">
      <c r="A345">
        <v>99.953754180000004</v>
      </c>
      <c r="B345" t="s">
        <v>308</v>
      </c>
      <c r="C345" s="5">
        <v>44279</v>
      </c>
      <c r="D345" t="s">
        <v>166</v>
      </c>
      <c r="E345">
        <v>0</v>
      </c>
      <c r="F345">
        <v>3235.15920104</v>
      </c>
      <c r="G345">
        <v>0</v>
      </c>
      <c r="H345">
        <v>323366.30751436</v>
      </c>
      <c r="I345">
        <v>323366.30751436</v>
      </c>
    </row>
    <row r="346" spans="1:9" x14ac:dyDescent="0.2">
      <c r="A346">
        <v>26.671875270000001</v>
      </c>
      <c r="B346" t="s">
        <v>308</v>
      </c>
      <c r="C346" s="5">
        <v>44279</v>
      </c>
      <c r="D346" t="s">
        <v>152</v>
      </c>
      <c r="E346">
        <v>0</v>
      </c>
      <c r="F346">
        <v>3235.15920104</v>
      </c>
      <c r="G346">
        <v>0</v>
      </c>
      <c r="H346">
        <v>86287.762688849994</v>
      </c>
      <c r="I346">
        <v>86287.762688849994</v>
      </c>
    </row>
    <row r="347" spans="1:9" x14ac:dyDescent="0.2">
      <c r="A347">
        <v>24.911025649999999</v>
      </c>
      <c r="B347" t="s">
        <v>308</v>
      </c>
      <c r="C347" s="5">
        <v>44288</v>
      </c>
      <c r="D347" t="s">
        <v>152</v>
      </c>
      <c r="E347">
        <v>0</v>
      </c>
      <c r="F347">
        <v>3235.15920104</v>
      </c>
      <c r="G347">
        <v>0</v>
      </c>
      <c r="H347">
        <v>80591.133839050002</v>
      </c>
      <c r="I347">
        <v>80591.133839050002</v>
      </c>
    </row>
    <row r="348" spans="1:9" x14ac:dyDescent="0.2">
      <c r="A348">
        <v>5.1973940699999996</v>
      </c>
      <c r="B348" t="s">
        <v>308</v>
      </c>
      <c r="C348" s="5">
        <v>44308</v>
      </c>
      <c r="D348" t="s">
        <v>124</v>
      </c>
      <c r="E348">
        <v>0</v>
      </c>
      <c r="F348">
        <v>3235.15920104</v>
      </c>
      <c r="G348">
        <v>0</v>
      </c>
      <c r="H348">
        <v>16814.397247010002</v>
      </c>
      <c r="I348">
        <v>16814.397247010002</v>
      </c>
    </row>
    <row r="349" spans="1:9" x14ac:dyDescent="0.2">
      <c r="A349">
        <v>20</v>
      </c>
      <c r="B349" t="s">
        <v>308</v>
      </c>
      <c r="C349" s="5">
        <v>44309</v>
      </c>
      <c r="D349" t="s">
        <v>132</v>
      </c>
      <c r="E349">
        <v>0</v>
      </c>
      <c r="F349">
        <v>3235.15920104</v>
      </c>
      <c r="G349">
        <v>0</v>
      </c>
      <c r="H349">
        <v>64703.184020890003</v>
      </c>
      <c r="I349">
        <v>64703.184020890003</v>
      </c>
    </row>
    <row r="350" spans="1:9" x14ac:dyDescent="0.2">
      <c r="A350">
        <v>37.717526599999999</v>
      </c>
      <c r="B350" t="s">
        <v>308</v>
      </c>
      <c r="C350" s="5">
        <v>44317</v>
      </c>
      <c r="D350" t="s">
        <v>152</v>
      </c>
      <c r="E350">
        <v>0</v>
      </c>
      <c r="F350">
        <v>3235.15920104</v>
      </c>
      <c r="G350">
        <v>0</v>
      </c>
      <c r="H350">
        <v>122022.20322063001</v>
      </c>
      <c r="I350">
        <v>122022.20322063001</v>
      </c>
    </row>
    <row r="351" spans="1:9" x14ac:dyDescent="0.2">
      <c r="A351">
        <v>5.6588580500000001</v>
      </c>
      <c r="B351" t="s">
        <v>308</v>
      </c>
      <c r="C351" s="5">
        <v>44320</v>
      </c>
      <c r="D351" t="s">
        <v>166</v>
      </c>
      <c r="E351">
        <v>0</v>
      </c>
      <c r="F351">
        <v>3235.15920104</v>
      </c>
      <c r="G351">
        <v>0</v>
      </c>
      <c r="H351">
        <v>18307.30668786</v>
      </c>
      <c r="I351">
        <v>18307.30668786</v>
      </c>
    </row>
    <row r="352" spans="1:9" x14ac:dyDescent="0.2">
      <c r="A352">
        <v>9.3956599300000008</v>
      </c>
      <c r="B352" t="s">
        <v>308</v>
      </c>
      <c r="C352" s="5">
        <v>44320</v>
      </c>
      <c r="D352" t="s">
        <v>152</v>
      </c>
      <c r="E352">
        <v>0</v>
      </c>
      <c r="F352">
        <v>3235.15920104</v>
      </c>
      <c r="G352">
        <v>0</v>
      </c>
      <c r="H352">
        <v>30396.455672420001</v>
      </c>
      <c r="I352">
        <v>30396.455672420001</v>
      </c>
    </row>
    <row r="353" spans="1:9" x14ac:dyDescent="0.2">
      <c r="A353">
        <v>35.335022809999998</v>
      </c>
      <c r="B353" t="s">
        <v>308</v>
      </c>
      <c r="C353" s="5">
        <v>44325</v>
      </c>
      <c r="D353" t="s">
        <v>152</v>
      </c>
      <c r="E353">
        <v>0</v>
      </c>
      <c r="F353">
        <v>3235.15920104</v>
      </c>
      <c r="G353">
        <v>0</v>
      </c>
      <c r="H353">
        <v>114314.42416289001</v>
      </c>
      <c r="I353">
        <v>114314.42416289001</v>
      </c>
    </row>
    <row r="354" spans="1:9" x14ac:dyDescent="0.2">
      <c r="A354">
        <v>4.0590818999999998</v>
      </c>
      <c r="B354" t="s">
        <v>308</v>
      </c>
      <c r="C354" s="5">
        <v>44329</v>
      </c>
      <c r="D354" t="s">
        <v>152</v>
      </c>
      <c r="E354">
        <v>0</v>
      </c>
      <c r="F354">
        <v>3235.15920104</v>
      </c>
      <c r="G354">
        <v>0</v>
      </c>
      <c r="H354">
        <v>13131.776156579999</v>
      </c>
      <c r="I354">
        <v>13131.776156579999</v>
      </c>
    </row>
    <row r="355" spans="1:9" x14ac:dyDescent="0.2">
      <c r="A355">
        <v>62.250511009999997</v>
      </c>
      <c r="B355" t="s">
        <v>308</v>
      </c>
      <c r="C355" s="5">
        <v>44335</v>
      </c>
      <c r="D355" t="s">
        <v>124</v>
      </c>
      <c r="E355">
        <v>0</v>
      </c>
      <c r="F355">
        <v>3235.15920104</v>
      </c>
      <c r="G355">
        <v>0</v>
      </c>
      <c r="H355">
        <v>201390.31346372</v>
      </c>
      <c r="I355">
        <v>201390.31346372</v>
      </c>
    </row>
    <row r="356" spans="1:9" x14ac:dyDescent="0.2">
      <c r="A356">
        <v>12.61251891</v>
      </c>
      <c r="B356" t="s">
        <v>308</v>
      </c>
      <c r="C356" s="5">
        <v>44335</v>
      </c>
      <c r="D356" t="s">
        <v>166</v>
      </c>
      <c r="E356">
        <v>0</v>
      </c>
      <c r="F356">
        <v>3235.15920104</v>
      </c>
      <c r="G356">
        <v>0</v>
      </c>
      <c r="H356">
        <v>40803.506600029999</v>
      </c>
      <c r="I356">
        <v>40803.506600029999</v>
      </c>
    </row>
    <row r="357" spans="1:9" x14ac:dyDescent="0.2">
      <c r="A357">
        <v>44.972604330000003</v>
      </c>
      <c r="B357" t="s">
        <v>308</v>
      </c>
      <c r="C357" s="5">
        <v>44335</v>
      </c>
      <c r="D357" t="s">
        <v>152</v>
      </c>
      <c r="E357">
        <v>0</v>
      </c>
      <c r="F357">
        <v>3235.15920104</v>
      </c>
      <c r="G357">
        <v>0</v>
      </c>
      <c r="H357">
        <v>145493.53469313</v>
      </c>
      <c r="I357">
        <v>145493.53469313</v>
      </c>
    </row>
    <row r="358" spans="1:9" x14ac:dyDescent="0.2">
      <c r="A358">
        <v>15</v>
      </c>
      <c r="B358" t="s">
        <v>308</v>
      </c>
      <c r="C358" s="5">
        <v>44355</v>
      </c>
      <c r="D358" t="s">
        <v>132</v>
      </c>
      <c r="E358">
        <v>0</v>
      </c>
      <c r="F358">
        <v>3235.15920104</v>
      </c>
      <c r="G358">
        <v>0</v>
      </c>
      <c r="H358">
        <v>48527.388015670003</v>
      </c>
      <c r="I358">
        <v>48527.388015670003</v>
      </c>
    </row>
    <row r="359" spans="1:9" x14ac:dyDescent="0.2">
      <c r="A359">
        <v>50</v>
      </c>
      <c r="B359" t="s">
        <v>308</v>
      </c>
      <c r="C359" s="5">
        <v>44369</v>
      </c>
      <c r="D359" t="s">
        <v>132</v>
      </c>
      <c r="E359">
        <v>0</v>
      </c>
      <c r="F359">
        <v>3235.15920104</v>
      </c>
      <c r="G359">
        <v>0</v>
      </c>
      <c r="H359">
        <v>161757.96005222001</v>
      </c>
      <c r="I359">
        <v>161757.96005222001</v>
      </c>
    </row>
    <row r="360" spans="1:9" x14ac:dyDescent="0.2">
      <c r="A360">
        <v>127.44822087999999</v>
      </c>
      <c r="B360" t="s">
        <v>308</v>
      </c>
      <c r="C360" s="5">
        <v>44422</v>
      </c>
      <c r="D360" t="s">
        <v>152</v>
      </c>
      <c r="E360">
        <v>0</v>
      </c>
      <c r="F360">
        <v>3235.15920104</v>
      </c>
      <c r="G360">
        <v>0</v>
      </c>
      <c r="H360">
        <v>412315.28443668003</v>
      </c>
      <c r="I360">
        <v>412315.28443668003</v>
      </c>
    </row>
    <row r="361" spans="1:9" x14ac:dyDescent="0.2">
      <c r="A361">
        <v>20.762739450000002</v>
      </c>
      <c r="B361" t="s">
        <v>308</v>
      </c>
      <c r="C361" s="5">
        <v>44456</v>
      </c>
      <c r="D361" t="s">
        <v>152</v>
      </c>
      <c r="E361">
        <v>0</v>
      </c>
      <c r="F361">
        <v>3235.15920104</v>
      </c>
      <c r="G361">
        <v>0</v>
      </c>
      <c r="H361">
        <v>67170.767570559998</v>
      </c>
      <c r="I361">
        <v>67170.767570559998</v>
      </c>
    </row>
    <row r="362" spans="1:9" x14ac:dyDescent="0.2">
      <c r="A362">
        <v>0.68028200000000005</v>
      </c>
      <c r="B362" t="s">
        <v>308</v>
      </c>
      <c r="C362" s="5">
        <v>44457</v>
      </c>
      <c r="D362" t="s">
        <v>152</v>
      </c>
      <c r="E362">
        <v>0</v>
      </c>
      <c r="F362">
        <v>3235.15920104</v>
      </c>
      <c r="G362">
        <v>0</v>
      </c>
      <c r="H362">
        <v>2200.8205716000002</v>
      </c>
      <c r="I362">
        <v>2200.8205716000002</v>
      </c>
    </row>
    <row r="363" spans="1:9" x14ac:dyDescent="0.2">
      <c r="A363">
        <v>26.550644810000001</v>
      </c>
      <c r="B363" t="s">
        <v>308</v>
      </c>
      <c r="C363" s="5">
        <v>44463</v>
      </c>
      <c r="D363" t="s">
        <v>152</v>
      </c>
      <c r="E363">
        <v>0</v>
      </c>
      <c r="F363">
        <v>3235.15920104</v>
      </c>
      <c r="G363">
        <v>0</v>
      </c>
      <c r="H363">
        <v>85895.562850729999</v>
      </c>
      <c r="I363">
        <v>85895.562850729999</v>
      </c>
    </row>
    <row r="364" spans="1:9" x14ac:dyDescent="0.2">
      <c r="A364">
        <v>0.24838826999999999</v>
      </c>
      <c r="B364" t="s">
        <v>308</v>
      </c>
      <c r="C364" s="5">
        <v>44473</v>
      </c>
      <c r="D364" t="s">
        <v>189</v>
      </c>
      <c r="E364">
        <v>0</v>
      </c>
      <c r="F364">
        <v>3235.15920104</v>
      </c>
      <c r="G364">
        <v>0</v>
      </c>
      <c r="H364">
        <v>803.57559712</v>
      </c>
      <c r="I364">
        <v>803.57559712</v>
      </c>
    </row>
    <row r="365" spans="1:9" x14ac:dyDescent="0.2">
      <c r="A365">
        <v>0.89115423000000005</v>
      </c>
      <c r="B365" t="s">
        <v>308</v>
      </c>
      <c r="C365" s="5">
        <v>44473</v>
      </c>
      <c r="D365" t="s">
        <v>139</v>
      </c>
      <c r="E365">
        <v>0</v>
      </c>
      <c r="F365">
        <v>3235.15920104</v>
      </c>
      <c r="G365">
        <v>0</v>
      </c>
      <c r="H365">
        <v>2883.0258067300001</v>
      </c>
      <c r="I365">
        <v>2883.0258067300001</v>
      </c>
    </row>
    <row r="366" spans="1:9" x14ac:dyDescent="0.2">
      <c r="A366">
        <v>4.4848699400000003</v>
      </c>
      <c r="B366" t="s">
        <v>308</v>
      </c>
      <c r="C366" s="5">
        <v>44475</v>
      </c>
      <c r="D366" t="s">
        <v>152</v>
      </c>
      <c r="E366">
        <v>0</v>
      </c>
      <c r="F366">
        <v>3235.15920104</v>
      </c>
      <c r="G366">
        <v>0</v>
      </c>
      <c r="H366">
        <v>14509.268251879999</v>
      </c>
      <c r="I366">
        <v>14509.268251879999</v>
      </c>
    </row>
    <row r="367" spans="1:9" x14ac:dyDescent="0.2">
      <c r="A367">
        <v>0.77197682000000001</v>
      </c>
      <c r="B367" t="s">
        <v>308</v>
      </c>
      <c r="C367" s="5">
        <v>44482</v>
      </c>
      <c r="D367" t="s">
        <v>152</v>
      </c>
      <c r="E367">
        <v>0</v>
      </c>
      <c r="F367">
        <v>3235.15920104</v>
      </c>
      <c r="G367">
        <v>0</v>
      </c>
      <c r="H367">
        <v>2497.46791222</v>
      </c>
      <c r="I367">
        <v>2497.46791222</v>
      </c>
    </row>
    <row r="368" spans="1:9" x14ac:dyDescent="0.2">
      <c r="A368">
        <v>4.8028254800000001</v>
      </c>
      <c r="B368" t="s">
        <v>308</v>
      </c>
      <c r="C368" s="5">
        <v>44484</v>
      </c>
      <c r="D368" t="s">
        <v>152</v>
      </c>
      <c r="E368">
        <v>0</v>
      </c>
      <c r="F368">
        <v>3235.15920104</v>
      </c>
      <c r="G368">
        <v>0</v>
      </c>
      <c r="H368">
        <v>15537.90504263</v>
      </c>
      <c r="I368">
        <v>15537.90504263</v>
      </c>
    </row>
    <row r="369" spans="1:9" x14ac:dyDescent="0.2">
      <c r="A369">
        <v>3.5024800300000001</v>
      </c>
      <c r="B369" t="s">
        <v>308</v>
      </c>
      <c r="C369" s="5">
        <v>44487</v>
      </c>
      <c r="D369" t="s">
        <v>124</v>
      </c>
      <c r="E369">
        <v>0</v>
      </c>
      <c r="F369">
        <v>3235.15920104</v>
      </c>
      <c r="G369">
        <v>0</v>
      </c>
      <c r="H369">
        <v>11331.080495529999</v>
      </c>
      <c r="I369">
        <v>11331.080495529999</v>
      </c>
    </row>
    <row r="370" spans="1:9" x14ac:dyDescent="0.2">
      <c r="A370">
        <v>5.7004944999999996</v>
      </c>
      <c r="B370" t="s">
        <v>308</v>
      </c>
      <c r="C370" s="5">
        <v>44490</v>
      </c>
      <c r="D370" t="s">
        <v>152</v>
      </c>
      <c r="E370">
        <v>0</v>
      </c>
      <c r="F370">
        <v>3235.15920104</v>
      </c>
      <c r="G370">
        <v>0</v>
      </c>
      <c r="H370">
        <v>18442.00723218</v>
      </c>
      <c r="I370">
        <v>18442.00723218</v>
      </c>
    </row>
    <row r="371" spans="1:9" x14ac:dyDescent="0.2">
      <c r="A371">
        <v>5.9967992099999998</v>
      </c>
      <c r="B371" t="s">
        <v>308</v>
      </c>
      <c r="C371" s="5">
        <v>44499</v>
      </c>
      <c r="D371" t="s">
        <v>152</v>
      </c>
      <c r="E371">
        <v>0</v>
      </c>
      <c r="F371">
        <v>3235.15920104</v>
      </c>
      <c r="G371">
        <v>0</v>
      </c>
      <c r="H371">
        <v>19400.600141049999</v>
      </c>
      <c r="I371">
        <v>19400.600141049999</v>
      </c>
    </row>
    <row r="372" spans="1:9" x14ac:dyDescent="0.2">
      <c r="A372">
        <v>28.66084296</v>
      </c>
      <c r="B372" t="s">
        <v>308</v>
      </c>
      <c r="C372" s="5">
        <v>44501</v>
      </c>
      <c r="D372" t="s">
        <v>152</v>
      </c>
      <c r="E372">
        <v>0</v>
      </c>
      <c r="F372">
        <v>3235.15920104</v>
      </c>
      <c r="G372">
        <v>0</v>
      </c>
      <c r="H372">
        <v>92722.389811729998</v>
      </c>
      <c r="I372">
        <v>92722.389811729998</v>
      </c>
    </row>
    <row r="373" spans="1:9" x14ac:dyDescent="0.2">
      <c r="A373">
        <v>1.0149428599999999</v>
      </c>
      <c r="B373" t="s">
        <v>308</v>
      </c>
      <c r="C373" s="5">
        <v>44511</v>
      </c>
      <c r="D373" t="s">
        <v>152</v>
      </c>
      <c r="E373">
        <v>0</v>
      </c>
      <c r="F373">
        <v>3235.15920104</v>
      </c>
      <c r="G373">
        <v>0</v>
      </c>
      <c r="H373">
        <v>3283.50173206</v>
      </c>
      <c r="I373">
        <v>3283.50173206</v>
      </c>
    </row>
    <row r="374" spans="1:9" x14ac:dyDescent="0.2">
      <c r="A374">
        <v>1.2221262500000001</v>
      </c>
      <c r="B374" t="s">
        <v>308</v>
      </c>
      <c r="C374" s="5">
        <v>44513</v>
      </c>
      <c r="D374" t="s">
        <v>184</v>
      </c>
      <c r="E374">
        <v>0</v>
      </c>
      <c r="F374">
        <v>3235.15920104</v>
      </c>
      <c r="G374">
        <v>0</v>
      </c>
      <c r="H374">
        <v>3953.7729825299998</v>
      </c>
      <c r="I374">
        <v>3953.7729825299998</v>
      </c>
    </row>
    <row r="375" spans="1:9" x14ac:dyDescent="0.2">
      <c r="A375">
        <v>2.72614935</v>
      </c>
      <c r="B375" t="s">
        <v>308</v>
      </c>
      <c r="C375" s="5">
        <v>44531</v>
      </c>
      <c r="D375" t="s">
        <v>152</v>
      </c>
      <c r="E375">
        <v>0</v>
      </c>
      <c r="F375">
        <v>3235.15920104</v>
      </c>
      <c r="G375">
        <v>0</v>
      </c>
      <c r="H375">
        <v>8819.5271530699993</v>
      </c>
      <c r="I375">
        <v>8819.5271530699993</v>
      </c>
    </row>
    <row r="376" spans="1:9" x14ac:dyDescent="0.2">
      <c r="A376">
        <v>2.9154568900000002</v>
      </c>
      <c r="B376" t="s">
        <v>308</v>
      </c>
      <c r="C376" s="5">
        <v>44535</v>
      </c>
      <c r="D376" t="s">
        <v>152</v>
      </c>
      <c r="E376">
        <v>0</v>
      </c>
      <c r="F376">
        <v>3235.15920104</v>
      </c>
      <c r="G376">
        <v>0</v>
      </c>
      <c r="H376">
        <v>9431.9671829300005</v>
      </c>
      <c r="I376">
        <v>9431.9671829300005</v>
      </c>
    </row>
    <row r="377" spans="1:9" x14ac:dyDescent="0.2">
      <c r="A377">
        <v>5.7053768199999997</v>
      </c>
      <c r="B377" t="s">
        <v>308</v>
      </c>
      <c r="C377" s="5">
        <v>44539</v>
      </c>
      <c r="D377" t="s">
        <v>152</v>
      </c>
      <c r="E377">
        <v>0</v>
      </c>
      <c r="F377">
        <v>3235.15920104</v>
      </c>
      <c r="G377">
        <v>0</v>
      </c>
      <c r="H377">
        <v>18457.802314650002</v>
      </c>
      <c r="I377">
        <v>18457.802314650002</v>
      </c>
    </row>
    <row r="378" spans="1:9" x14ac:dyDescent="0.2">
      <c r="A378">
        <v>0.90184184999999994</v>
      </c>
      <c r="B378" t="s">
        <v>308</v>
      </c>
      <c r="C378" s="5">
        <v>44540</v>
      </c>
      <c r="D378" t="s">
        <v>152</v>
      </c>
      <c r="E378">
        <v>0</v>
      </c>
      <c r="F378">
        <v>3235.15920104</v>
      </c>
      <c r="G378">
        <v>0</v>
      </c>
      <c r="H378">
        <v>2917.6019589100001</v>
      </c>
      <c r="I378">
        <v>2917.6019589100001</v>
      </c>
    </row>
    <row r="379" spans="1:9" x14ac:dyDescent="0.2">
      <c r="A379">
        <v>4.87E-6</v>
      </c>
      <c r="B379" t="s">
        <v>309</v>
      </c>
      <c r="C379" s="5">
        <v>44093</v>
      </c>
      <c r="D379" t="s">
        <v>152</v>
      </c>
      <c r="E379">
        <v>0</v>
      </c>
      <c r="F379">
        <v>0.35889441999999999</v>
      </c>
      <c r="G379">
        <v>0</v>
      </c>
      <c r="H379">
        <v>1.75E-6</v>
      </c>
      <c r="I379">
        <v>1.75E-6</v>
      </c>
    </row>
    <row r="380" spans="1:9" x14ac:dyDescent="0.2">
      <c r="A380">
        <v>3333.3332999999998</v>
      </c>
      <c r="B380" t="s">
        <v>310</v>
      </c>
      <c r="C380" s="5">
        <v>44216</v>
      </c>
      <c r="D380" t="s">
        <v>152</v>
      </c>
      <c r="E380">
        <v>0</v>
      </c>
      <c r="F380">
        <v>894.05848616000003</v>
      </c>
      <c r="G380">
        <v>0</v>
      </c>
      <c r="H380">
        <v>2980194.9240731099</v>
      </c>
      <c r="I380">
        <v>2980194.9240731099</v>
      </c>
    </row>
    <row r="381" spans="1:9" x14ac:dyDescent="0.2">
      <c r="A381">
        <v>460</v>
      </c>
      <c r="B381" t="s">
        <v>310</v>
      </c>
      <c r="C381" s="5">
        <v>44501</v>
      </c>
      <c r="D381" t="s">
        <v>122</v>
      </c>
      <c r="E381">
        <v>0</v>
      </c>
      <c r="F381">
        <v>894.05848616000003</v>
      </c>
      <c r="G381">
        <v>0</v>
      </c>
      <c r="H381">
        <v>411266.90363476</v>
      </c>
      <c r="I381">
        <v>411266.90363476</v>
      </c>
    </row>
    <row r="382" spans="1:9" x14ac:dyDescent="0.2">
      <c r="A382">
        <v>292.48899999999998</v>
      </c>
      <c r="B382" t="s">
        <v>311</v>
      </c>
      <c r="C382" s="5">
        <v>44088</v>
      </c>
      <c r="D382" t="s">
        <v>150</v>
      </c>
      <c r="E382">
        <v>0</v>
      </c>
      <c r="F382">
        <v>8.8192690000000004E-2</v>
      </c>
      <c r="G382">
        <v>0</v>
      </c>
      <c r="H382">
        <v>25.795392379999999</v>
      </c>
      <c r="I382">
        <v>25.795392379999999</v>
      </c>
    </row>
    <row r="383" spans="1:9" x14ac:dyDescent="0.2">
      <c r="A383">
        <v>721.89</v>
      </c>
      <c r="B383" t="s">
        <v>312</v>
      </c>
      <c r="C383" s="5">
        <v>44329</v>
      </c>
      <c r="D383" t="s">
        <v>158</v>
      </c>
      <c r="E383">
        <v>0</v>
      </c>
      <c r="F383">
        <v>4.0702000000000002E-4</v>
      </c>
      <c r="G383">
        <v>0</v>
      </c>
      <c r="H383">
        <v>0.29382185999999999</v>
      </c>
      <c r="I383">
        <v>0.29382185999999999</v>
      </c>
    </row>
    <row r="384" spans="1:9" x14ac:dyDescent="0.2">
      <c r="A384">
        <v>1111111.111</v>
      </c>
      <c r="B384" t="s">
        <v>313</v>
      </c>
      <c r="C384" s="5">
        <v>44333</v>
      </c>
      <c r="D384" t="s">
        <v>122</v>
      </c>
      <c r="E384">
        <v>0</v>
      </c>
      <c r="F384">
        <v>3.5030500000000002E-3</v>
      </c>
      <c r="G384">
        <v>0</v>
      </c>
      <c r="H384">
        <v>3892.28212209</v>
      </c>
      <c r="I384">
        <v>3892.28212209</v>
      </c>
    </row>
    <row r="385" spans="1:9" x14ac:dyDescent="0.2">
      <c r="A385">
        <v>2.7350000000000001E-5</v>
      </c>
      <c r="B385" t="s">
        <v>314</v>
      </c>
      <c r="C385" s="5">
        <v>44435</v>
      </c>
      <c r="D385" t="s">
        <v>152</v>
      </c>
      <c r="E385">
        <v>0</v>
      </c>
      <c r="F385">
        <v>1.546488E-2</v>
      </c>
      <c r="G385">
        <v>0</v>
      </c>
      <c r="H385">
        <v>4.2E-7</v>
      </c>
      <c r="I385">
        <v>4.2E-7</v>
      </c>
    </row>
    <row r="386" spans="1:9" x14ac:dyDescent="0.2">
      <c r="A386">
        <v>13.756</v>
      </c>
      <c r="B386" t="s">
        <v>315</v>
      </c>
      <c r="C386" s="5">
        <v>44491</v>
      </c>
      <c r="D386" t="s">
        <v>150</v>
      </c>
      <c r="E386">
        <v>0</v>
      </c>
      <c r="F386">
        <v>5.9806716299999998</v>
      </c>
      <c r="G386">
        <v>0</v>
      </c>
      <c r="H386">
        <v>82.270119010000002</v>
      </c>
      <c r="I386">
        <v>82.270119010000002</v>
      </c>
    </row>
    <row r="387" spans="1:9" x14ac:dyDescent="0.2">
      <c r="A387">
        <v>35304.740239780003</v>
      </c>
      <c r="B387" t="s">
        <v>316</v>
      </c>
      <c r="C387" s="5">
        <v>44062</v>
      </c>
      <c r="D387" t="s">
        <v>152</v>
      </c>
      <c r="E387">
        <v>0</v>
      </c>
      <c r="F387">
        <v>34.277743569999998</v>
      </c>
      <c r="G387">
        <v>0</v>
      </c>
      <c r="H387">
        <v>1210166.83287236</v>
      </c>
      <c r="I387">
        <v>1210166.83287236</v>
      </c>
    </row>
    <row r="388" spans="1:9" x14ac:dyDescent="0.2">
      <c r="A388">
        <v>18.085971350000001</v>
      </c>
      <c r="B388" t="s">
        <v>316</v>
      </c>
      <c r="C388" s="5">
        <v>44195</v>
      </c>
      <c r="D388" t="s">
        <v>152</v>
      </c>
      <c r="E388">
        <v>0</v>
      </c>
      <c r="F388">
        <v>34.277743569999998</v>
      </c>
      <c r="G388">
        <v>0</v>
      </c>
      <c r="H388">
        <v>619.94628822000004</v>
      </c>
      <c r="I388">
        <v>619.94628822000004</v>
      </c>
    </row>
    <row r="389" spans="1:9" x14ac:dyDescent="0.2">
      <c r="A389">
        <v>1171.889891</v>
      </c>
      <c r="B389" t="s">
        <v>316</v>
      </c>
      <c r="C389" s="5">
        <v>44198</v>
      </c>
      <c r="D389" t="s">
        <v>152</v>
      </c>
      <c r="E389">
        <v>0</v>
      </c>
      <c r="F389">
        <v>34.277743569999998</v>
      </c>
      <c r="G389">
        <v>0</v>
      </c>
      <c r="H389">
        <v>40169.741180210003</v>
      </c>
      <c r="I389">
        <v>40169.741180210003</v>
      </c>
    </row>
    <row r="390" spans="1:9" x14ac:dyDescent="0.2">
      <c r="A390">
        <v>89.589593070000006</v>
      </c>
      <c r="B390" t="s">
        <v>316</v>
      </c>
      <c r="C390" s="5">
        <v>44199</v>
      </c>
      <c r="D390" t="s">
        <v>152</v>
      </c>
      <c r="E390">
        <v>0</v>
      </c>
      <c r="F390">
        <v>34.277743569999998</v>
      </c>
      <c r="G390">
        <v>0</v>
      </c>
      <c r="H390">
        <v>3070.9290981200002</v>
      </c>
      <c r="I390">
        <v>3070.9290981200002</v>
      </c>
    </row>
    <row r="391" spans="1:9" x14ac:dyDescent="0.2">
      <c r="A391">
        <v>1605.518679</v>
      </c>
      <c r="B391" t="s">
        <v>316</v>
      </c>
      <c r="C391" s="5">
        <v>44211</v>
      </c>
      <c r="D391" t="s">
        <v>152</v>
      </c>
      <c r="E391">
        <v>0</v>
      </c>
      <c r="F391">
        <v>34.277743569999998</v>
      </c>
      <c r="G391">
        <v>0</v>
      </c>
      <c r="H391">
        <v>55033.557581419998</v>
      </c>
      <c r="I391">
        <v>55033.557581419998</v>
      </c>
    </row>
    <row r="392" spans="1:9" x14ac:dyDescent="0.2">
      <c r="A392">
        <v>233.1389963</v>
      </c>
      <c r="B392" t="s">
        <v>316</v>
      </c>
      <c r="C392" s="5">
        <v>44213</v>
      </c>
      <c r="D392" t="s">
        <v>152</v>
      </c>
      <c r="E392">
        <v>0</v>
      </c>
      <c r="F392">
        <v>34.277743569999998</v>
      </c>
      <c r="G392">
        <v>0</v>
      </c>
      <c r="H392">
        <v>7991.4787321800004</v>
      </c>
      <c r="I392">
        <v>7991.4787321800004</v>
      </c>
    </row>
    <row r="393" spans="1:9" x14ac:dyDescent="0.2">
      <c r="A393">
        <v>532.44704530000001</v>
      </c>
      <c r="B393" t="s">
        <v>316</v>
      </c>
      <c r="C393" s="5">
        <v>44219</v>
      </c>
      <c r="D393" t="s">
        <v>152</v>
      </c>
      <c r="E393">
        <v>0</v>
      </c>
      <c r="F393">
        <v>34.277743569999998</v>
      </c>
      <c r="G393">
        <v>0</v>
      </c>
      <c r="H393">
        <v>18251.083285320001</v>
      </c>
      <c r="I393">
        <v>18251.083285320001</v>
      </c>
    </row>
    <row r="394" spans="1:9" x14ac:dyDescent="0.2">
      <c r="A394">
        <v>3616.7036367400001</v>
      </c>
      <c r="B394" t="s">
        <v>316</v>
      </c>
      <c r="C394" s="5">
        <v>44223</v>
      </c>
      <c r="D394" t="s">
        <v>166</v>
      </c>
      <c r="E394">
        <v>0</v>
      </c>
      <c r="F394">
        <v>34.277743569999998</v>
      </c>
      <c r="G394">
        <v>0</v>
      </c>
      <c r="H394">
        <v>123972.43984193999</v>
      </c>
      <c r="I394">
        <v>123972.43984193999</v>
      </c>
    </row>
    <row r="395" spans="1:9" x14ac:dyDescent="0.2">
      <c r="A395">
        <v>6126.8780150599996</v>
      </c>
      <c r="B395" t="s">
        <v>316</v>
      </c>
      <c r="C395" s="5">
        <v>44223</v>
      </c>
      <c r="D395" t="s">
        <v>152</v>
      </c>
      <c r="E395">
        <v>0</v>
      </c>
      <c r="F395">
        <v>34.277743569999998</v>
      </c>
      <c r="G395">
        <v>0</v>
      </c>
      <c r="H395">
        <v>210015.55350705999</v>
      </c>
      <c r="I395">
        <v>210015.55350705999</v>
      </c>
    </row>
    <row r="396" spans="1:9" x14ac:dyDescent="0.2">
      <c r="A396">
        <v>911.14340330000005</v>
      </c>
      <c r="B396" t="s">
        <v>316</v>
      </c>
      <c r="C396" s="5">
        <v>44224</v>
      </c>
      <c r="D396" t="s">
        <v>152</v>
      </c>
      <c r="E396">
        <v>0</v>
      </c>
      <c r="F396">
        <v>34.277743569999998</v>
      </c>
      <c r="G396">
        <v>0</v>
      </c>
      <c r="H396">
        <v>31231.939937110001</v>
      </c>
      <c r="I396">
        <v>31231.939937110001</v>
      </c>
    </row>
    <row r="397" spans="1:9" x14ac:dyDescent="0.2">
      <c r="A397">
        <v>1829.237539</v>
      </c>
      <c r="B397" t="s">
        <v>316</v>
      </c>
      <c r="C397" s="5">
        <v>44234</v>
      </c>
      <c r="D397" t="s">
        <v>152</v>
      </c>
      <c r="E397">
        <v>0</v>
      </c>
      <c r="F397">
        <v>34.277743569999998</v>
      </c>
      <c r="G397">
        <v>0</v>
      </c>
      <c r="H397">
        <v>62702.13529708</v>
      </c>
      <c r="I397">
        <v>62702.13529708</v>
      </c>
    </row>
    <row r="398" spans="1:9" x14ac:dyDescent="0.2">
      <c r="A398">
        <v>2782.2460310000001</v>
      </c>
      <c r="B398" t="s">
        <v>316</v>
      </c>
      <c r="C398" s="5">
        <v>44251</v>
      </c>
      <c r="D398" t="s">
        <v>152</v>
      </c>
      <c r="E398">
        <v>0</v>
      </c>
      <c r="F398">
        <v>34.277743569999998</v>
      </c>
      <c r="G398">
        <v>0</v>
      </c>
      <c r="H398">
        <v>95369.116009329999</v>
      </c>
      <c r="I398">
        <v>95369.116009329999</v>
      </c>
    </row>
    <row r="399" spans="1:9" x14ac:dyDescent="0.2">
      <c r="A399">
        <v>1428.4928299999999</v>
      </c>
      <c r="B399" t="s">
        <v>316</v>
      </c>
      <c r="C399" s="5">
        <v>44261</v>
      </c>
      <c r="D399" t="s">
        <v>152</v>
      </c>
      <c r="E399">
        <v>0</v>
      </c>
      <c r="F399">
        <v>34.277743569999998</v>
      </c>
      <c r="G399">
        <v>0</v>
      </c>
      <c r="H399">
        <v>48965.510923490001</v>
      </c>
      <c r="I399">
        <v>48965.510923490001</v>
      </c>
    </row>
    <row r="400" spans="1:9" x14ac:dyDescent="0.2">
      <c r="A400">
        <v>911.28832469999998</v>
      </c>
      <c r="B400" t="s">
        <v>316</v>
      </c>
      <c r="C400" s="5">
        <v>44268</v>
      </c>
      <c r="D400" t="s">
        <v>152</v>
      </c>
      <c r="E400">
        <v>0</v>
      </c>
      <c r="F400">
        <v>34.277743569999998</v>
      </c>
      <c r="G400">
        <v>0</v>
      </c>
      <c r="H400">
        <v>31236.907515700001</v>
      </c>
      <c r="I400">
        <v>31236.907515700001</v>
      </c>
    </row>
    <row r="401" spans="1:9" x14ac:dyDescent="0.2">
      <c r="A401">
        <v>5505.6877940000004</v>
      </c>
      <c r="B401" t="s">
        <v>316</v>
      </c>
      <c r="C401" s="5">
        <v>44306</v>
      </c>
      <c r="D401" t="s">
        <v>152</v>
      </c>
      <c r="E401">
        <v>0</v>
      </c>
      <c r="F401">
        <v>34.277743569999998</v>
      </c>
      <c r="G401">
        <v>0</v>
      </c>
      <c r="H401">
        <v>188722.55439912999</v>
      </c>
      <c r="I401">
        <v>188722.55439912999</v>
      </c>
    </row>
    <row r="402" spans="1:9" x14ac:dyDescent="0.2">
      <c r="A402">
        <v>19559.141824220002</v>
      </c>
      <c r="B402" t="s">
        <v>316</v>
      </c>
      <c r="C402" s="5">
        <v>44339</v>
      </c>
      <c r="D402" t="s">
        <v>152</v>
      </c>
      <c r="E402">
        <v>0</v>
      </c>
      <c r="F402">
        <v>34.277743569999998</v>
      </c>
      <c r="G402">
        <v>0</v>
      </c>
      <c r="H402">
        <v>670443.24797062995</v>
      </c>
      <c r="I402">
        <v>670443.24797062995</v>
      </c>
    </row>
    <row r="403" spans="1:9" x14ac:dyDescent="0.2">
      <c r="A403">
        <v>1.1545957499999999</v>
      </c>
      <c r="B403" t="s">
        <v>316</v>
      </c>
      <c r="C403" s="5">
        <v>44342</v>
      </c>
      <c r="D403" t="s">
        <v>172</v>
      </c>
      <c r="E403">
        <v>0</v>
      </c>
      <c r="F403">
        <v>34.277743569999998</v>
      </c>
      <c r="G403">
        <v>0</v>
      </c>
      <c r="H403">
        <v>39.576937049999998</v>
      </c>
      <c r="I403">
        <v>39.576937049999998</v>
      </c>
    </row>
    <row r="404" spans="1:9" x14ac:dyDescent="0.2">
      <c r="A404">
        <v>2679.0883690000001</v>
      </c>
      <c r="B404" t="s">
        <v>316</v>
      </c>
      <c r="C404" s="5">
        <v>44343</v>
      </c>
      <c r="D404" t="s">
        <v>184</v>
      </c>
      <c r="E404">
        <v>0</v>
      </c>
      <c r="F404">
        <v>34.277743569999998</v>
      </c>
      <c r="G404">
        <v>0</v>
      </c>
      <c r="H404">
        <v>91833.104123640005</v>
      </c>
      <c r="I404">
        <v>91833.104123640005</v>
      </c>
    </row>
    <row r="405" spans="1:9" x14ac:dyDescent="0.2">
      <c r="A405">
        <v>1573.390328</v>
      </c>
      <c r="B405" t="s">
        <v>316</v>
      </c>
      <c r="C405" s="5">
        <v>44343</v>
      </c>
      <c r="D405" t="s">
        <v>172</v>
      </c>
      <c r="E405">
        <v>0</v>
      </c>
      <c r="F405">
        <v>34.277743569999998</v>
      </c>
      <c r="G405">
        <v>0</v>
      </c>
      <c r="H405">
        <v>53932.270204389999</v>
      </c>
      <c r="I405">
        <v>53932.270204389999</v>
      </c>
    </row>
    <row r="406" spans="1:9" x14ac:dyDescent="0.2">
      <c r="A406">
        <v>2309.604034</v>
      </c>
      <c r="B406" t="s">
        <v>316</v>
      </c>
      <c r="C406" s="5">
        <v>44412</v>
      </c>
      <c r="D406" t="s">
        <v>152</v>
      </c>
      <c r="E406">
        <v>0</v>
      </c>
      <c r="F406">
        <v>34.277743569999998</v>
      </c>
      <c r="G406">
        <v>0</v>
      </c>
      <c r="H406">
        <v>79168.014834040005</v>
      </c>
      <c r="I406">
        <v>79168.014834040005</v>
      </c>
    </row>
    <row r="407" spans="1:9" x14ac:dyDescent="0.2">
      <c r="A407">
        <v>821.28509050000002</v>
      </c>
      <c r="B407" t="s">
        <v>316</v>
      </c>
      <c r="C407" s="5">
        <v>44418</v>
      </c>
      <c r="D407" t="s">
        <v>172</v>
      </c>
      <c r="E407">
        <v>0</v>
      </c>
      <c r="F407">
        <v>34.277743569999998</v>
      </c>
      <c r="G407">
        <v>0</v>
      </c>
      <c r="H407">
        <v>28151.799732989999</v>
      </c>
      <c r="I407">
        <v>28151.799732989999</v>
      </c>
    </row>
    <row r="408" spans="1:9" x14ac:dyDescent="0.2">
      <c r="A408">
        <v>1398.939781</v>
      </c>
      <c r="B408" t="s">
        <v>316</v>
      </c>
      <c r="C408" s="5">
        <v>44418</v>
      </c>
      <c r="D408" t="s">
        <v>184</v>
      </c>
      <c r="E408">
        <v>0</v>
      </c>
      <c r="F408">
        <v>34.277743569999998</v>
      </c>
      <c r="G408">
        <v>0</v>
      </c>
      <c r="H408">
        <v>47952.499088049997</v>
      </c>
      <c r="I408">
        <v>47952.499088049997</v>
      </c>
    </row>
    <row r="409" spans="1:9" x14ac:dyDescent="0.2">
      <c r="A409">
        <v>1161.4441220000001</v>
      </c>
      <c r="B409" t="s">
        <v>316</v>
      </c>
      <c r="C409" s="5">
        <v>44455</v>
      </c>
      <c r="D409" t="s">
        <v>184</v>
      </c>
      <c r="E409">
        <v>0</v>
      </c>
      <c r="F409">
        <v>34.277743569999998</v>
      </c>
      <c r="G409">
        <v>0</v>
      </c>
      <c r="H409">
        <v>39811.683789000002</v>
      </c>
      <c r="I409">
        <v>39811.683789000002</v>
      </c>
    </row>
    <row r="410" spans="1:9" x14ac:dyDescent="0.2">
      <c r="A410">
        <v>681.61892560000001</v>
      </c>
      <c r="B410" t="s">
        <v>316</v>
      </c>
      <c r="C410" s="5">
        <v>44455</v>
      </c>
      <c r="D410" t="s">
        <v>172</v>
      </c>
      <c r="E410">
        <v>0</v>
      </c>
      <c r="F410">
        <v>34.277743569999998</v>
      </c>
      <c r="G410">
        <v>0</v>
      </c>
      <c r="H410">
        <v>23364.358746639999</v>
      </c>
      <c r="I410">
        <v>23364.358746639999</v>
      </c>
    </row>
    <row r="411" spans="1:9" x14ac:dyDescent="0.2">
      <c r="A411">
        <v>53.711227780000002</v>
      </c>
      <c r="B411" t="s">
        <v>316</v>
      </c>
      <c r="C411" s="5">
        <v>44459</v>
      </c>
      <c r="D411" t="s">
        <v>184</v>
      </c>
      <c r="E411">
        <v>0</v>
      </c>
      <c r="F411">
        <v>34.277743569999998</v>
      </c>
      <c r="G411">
        <v>0</v>
      </c>
      <c r="H411">
        <v>1841.0996928699999</v>
      </c>
      <c r="I411">
        <v>1841.0996928699999</v>
      </c>
    </row>
    <row r="412" spans="1:9" x14ac:dyDescent="0.2">
      <c r="A412">
        <v>62496.875</v>
      </c>
      <c r="B412" t="s">
        <v>317</v>
      </c>
      <c r="C412" s="5">
        <v>44216</v>
      </c>
      <c r="D412" t="s">
        <v>122</v>
      </c>
      <c r="E412">
        <v>0</v>
      </c>
      <c r="F412">
        <v>1.97667562</v>
      </c>
      <c r="G412">
        <v>0</v>
      </c>
      <c r="H412">
        <v>123536.04926629001</v>
      </c>
      <c r="I412">
        <v>123536.04926629001</v>
      </c>
    </row>
    <row r="413" spans="1:9" x14ac:dyDescent="0.2">
      <c r="A413">
        <v>1</v>
      </c>
      <c r="B413" t="s">
        <v>318</v>
      </c>
      <c r="C413" s="5">
        <v>44362</v>
      </c>
      <c r="D413" t="s">
        <v>122</v>
      </c>
      <c r="E413">
        <v>0</v>
      </c>
      <c r="F413">
        <v>2.2094130999999999</v>
      </c>
      <c r="G413">
        <v>0</v>
      </c>
      <c r="H413">
        <v>2.2094130999999999</v>
      </c>
      <c r="I413">
        <v>2.2094130999999999</v>
      </c>
    </row>
    <row r="414" spans="1:9" x14ac:dyDescent="0.2">
      <c r="A414">
        <v>124993.75</v>
      </c>
      <c r="B414" t="s">
        <v>319</v>
      </c>
      <c r="C414" s="5">
        <v>44477</v>
      </c>
      <c r="D414" t="s">
        <v>158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2">
      <c r="A415">
        <v>2.1185254100000002</v>
      </c>
      <c r="B415" t="s">
        <v>320</v>
      </c>
      <c r="C415" s="5">
        <v>43455</v>
      </c>
      <c r="D415" t="s">
        <v>132</v>
      </c>
      <c r="E415">
        <v>0</v>
      </c>
      <c r="F415">
        <v>40701.75</v>
      </c>
      <c r="G415">
        <v>0</v>
      </c>
      <c r="H415">
        <v>86227.691606470005</v>
      </c>
      <c r="I415">
        <v>86227.691606470005</v>
      </c>
    </row>
    <row r="416" spans="1:9" x14ac:dyDescent="0.2">
      <c r="A416">
        <v>5.8346456900000003</v>
      </c>
      <c r="B416" t="s">
        <v>320</v>
      </c>
      <c r="C416" s="5">
        <v>43576</v>
      </c>
      <c r="D416" t="s">
        <v>132</v>
      </c>
      <c r="E416">
        <v>0</v>
      </c>
      <c r="F416">
        <v>40701.75</v>
      </c>
      <c r="G416">
        <v>0</v>
      </c>
      <c r="H416">
        <v>237480.29021296001</v>
      </c>
      <c r="I416">
        <v>237480.29021296001</v>
      </c>
    </row>
    <row r="417" spans="1:9" x14ac:dyDescent="0.2">
      <c r="A417">
        <v>2.6110959999999999E-2</v>
      </c>
      <c r="B417" t="s">
        <v>320</v>
      </c>
      <c r="C417" s="5">
        <v>43671</v>
      </c>
      <c r="D417" t="s">
        <v>132</v>
      </c>
      <c r="E417">
        <v>0</v>
      </c>
      <c r="F417">
        <v>40701.75</v>
      </c>
      <c r="G417">
        <v>0</v>
      </c>
      <c r="H417">
        <v>1062.76176618</v>
      </c>
      <c r="I417">
        <v>1062.76176618</v>
      </c>
    </row>
    <row r="418" spans="1:9" x14ac:dyDescent="0.2">
      <c r="A418">
        <v>1.6131172600000001</v>
      </c>
      <c r="B418" t="s">
        <v>320</v>
      </c>
      <c r="C418" s="5">
        <v>43672</v>
      </c>
      <c r="D418" t="s">
        <v>132</v>
      </c>
      <c r="E418">
        <v>0</v>
      </c>
      <c r="F418">
        <v>40701.75</v>
      </c>
      <c r="G418">
        <v>0</v>
      </c>
      <c r="H418">
        <v>65656.695437210001</v>
      </c>
      <c r="I418">
        <v>65656.695437210001</v>
      </c>
    </row>
    <row r="419" spans="1:9" x14ac:dyDescent="0.2">
      <c r="A419">
        <v>0.3</v>
      </c>
      <c r="B419" t="s">
        <v>320</v>
      </c>
      <c r="C419" s="5">
        <v>43691</v>
      </c>
      <c r="D419" t="s">
        <v>132</v>
      </c>
      <c r="E419">
        <v>0</v>
      </c>
      <c r="F419">
        <v>40701.75</v>
      </c>
      <c r="G419">
        <v>0</v>
      </c>
      <c r="H419">
        <v>12210.525</v>
      </c>
      <c r="I419">
        <v>12210.525</v>
      </c>
    </row>
    <row r="420" spans="1:9" x14ac:dyDescent="0.2">
      <c r="A420">
        <v>0.38</v>
      </c>
      <c r="B420" t="s">
        <v>320</v>
      </c>
      <c r="C420" s="5">
        <v>43710</v>
      </c>
      <c r="D420" t="s">
        <v>132</v>
      </c>
      <c r="E420">
        <v>0</v>
      </c>
      <c r="F420">
        <v>40701.75</v>
      </c>
      <c r="G420">
        <v>0</v>
      </c>
      <c r="H420">
        <v>15466.665000000001</v>
      </c>
      <c r="I420">
        <v>15466.665000000001</v>
      </c>
    </row>
    <row r="421" spans="1:9" x14ac:dyDescent="0.2">
      <c r="A421">
        <v>1.9960551200000001</v>
      </c>
      <c r="B421" t="s">
        <v>320</v>
      </c>
      <c r="C421" s="5">
        <v>43719</v>
      </c>
      <c r="D421" t="s">
        <v>132</v>
      </c>
      <c r="E421">
        <v>0</v>
      </c>
      <c r="F421">
        <v>40701.75</v>
      </c>
      <c r="G421">
        <v>0</v>
      </c>
      <c r="H421">
        <v>81242.936480460005</v>
      </c>
      <c r="I421">
        <v>81242.936480460005</v>
      </c>
    </row>
    <row r="422" spans="1:9" x14ac:dyDescent="0.2">
      <c r="A422">
        <v>0.60408680999999997</v>
      </c>
      <c r="B422" t="s">
        <v>320</v>
      </c>
      <c r="C422" s="5">
        <v>43788</v>
      </c>
      <c r="D422" t="s">
        <v>132</v>
      </c>
      <c r="E422">
        <v>0</v>
      </c>
      <c r="F422">
        <v>40701.75</v>
      </c>
      <c r="G422">
        <v>0</v>
      </c>
      <c r="H422">
        <v>24587.390318919999</v>
      </c>
      <c r="I422">
        <v>24587.390318919999</v>
      </c>
    </row>
    <row r="423" spans="1:9" x14ac:dyDescent="0.2">
      <c r="A423">
        <v>8.7836949999999997E-2</v>
      </c>
      <c r="B423" t="s">
        <v>320</v>
      </c>
      <c r="C423" s="5">
        <v>43788</v>
      </c>
      <c r="D423" t="s">
        <v>305</v>
      </c>
      <c r="E423">
        <v>0</v>
      </c>
      <c r="F423">
        <v>40701.75</v>
      </c>
      <c r="G423">
        <v>0</v>
      </c>
      <c r="H423">
        <v>3575.11757966</v>
      </c>
      <c r="I423">
        <v>3575.11757966</v>
      </c>
    </row>
    <row r="424" spans="1:9" x14ac:dyDescent="0.2">
      <c r="A424">
        <v>0.46600000000000003</v>
      </c>
      <c r="B424" t="s">
        <v>320</v>
      </c>
      <c r="C424" s="5">
        <v>43792</v>
      </c>
      <c r="D424" t="s">
        <v>132</v>
      </c>
      <c r="E424">
        <v>0</v>
      </c>
      <c r="F424">
        <v>40701.75</v>
      </c>
      <c r="G424">
        <v>0</v>
      </c>
      <c r="H424">
        <v>18967.015500000001</v>
      </c>
      <c r="I424">
        <v>18967.015500000001</v>
      </c>
    </row>
    <row r="425" spans="1:9" x14ac:dyDescent="0.2">
      <c r="A425">
        <v>0.46600000000000003</v>
      </c>
      <c r="B425" t="s">
        <v>320</v>
      </c>
      <c r="C425" s="5">
        <v>43792</v>
      </c>
      <c r="D425" t="s">
        <v>305</v>
      </c>
      <c r="E425">
        <v>0</v>
      </c>
      <c r="F425">
        <v>40701.75</v>
      </c>
      <c r="G425">
        <v>0</v>
      </c>
      <c r="H425">
        <v>18967.015500000001</v>
      </c>
      <c r="I425">
        <v>18967.015500000001</v>
      </c>
    </row>
    <row r="426" spans="1:9" x14ac:dyDescent="0.2">
      <c r="A426">
        <v>0.23251611999999999</v>
      </c>
      <c r="B426" t="s">
        <v>320</v>
      </c>
      <c r="C426" s="5">
        <v>43874</v>
      </c>
      <c r="D426" t="s">
        <v>132</v>
      </c>
      <c r="E426">
        <v>0</v>
      </c>
      <c r="F426">
        <v>40701.75</v>
      </c>
      <c r="G426">
        <v>0</v>
      </c>
      <c r="H426">
        <v>9463.8129872099998</v>
      </c>
      <c r="I426">
        <v>9463.8129872099998</v>
      </c>
    </row>
    <row r="427" spans="1:9" x14ac:dyDescent="0.2">
      <c r="A427">
        <v>0.28949999999999998</v>
      </c>
      <c r="B427" t="s">
        <v>320</v>
      </c>
      <c r="C427" s="5">
        <v>43887</v>
      </c>
      <c r="D427" t="s">
        <v>132</v>
      </c>
      <c r="E427">
        <v>0</v>
      </c>
      <c r="F427">
        <v>40701.75</v>
      </c>
      <c r="G427">
        <v>0</v>
      </c>
      <c r="H427">
        <v>11783.156625</v>
      </c>
      <c r="I427">
        <v>11783.156625</v>
      </c>
    </row>
    <row r="428" spans="1:9" x14ac:dyDescent="0.2">
      <c r="A428">
        <v>0.13</v>
      </c>
      <c r="B428" t="s">
        <v>320</v>
      </c>
      <c r="C428" s="5">
        <v>43892</v>
      </c>
      <c r="D428" t="s">
        <v>132</v>
      </c>
      <c r="E428">
        <v>0</v>
      </c>
      <c r="F428">
        <v>40701.75</v>
      </c>
      <c r="G428">
        <v>0</v>
      </c>
      <c r="H428">
        <v>5291.2275</v>
      </c>
      <c r="I428">
        <v>5291.2275</v>
      </c>
    </row>
    <row r="429" spans="1:9" x14ac:dyDescent="0.2">
      <c r="A429">
        <v>0.13500000000000001</v>
      </c>
      <c r="B429" t="s">
        <v>320</v>
      </c>
      <c r="C429" s="5">
        <v>43898</v>
      </c>
      <c r="D429" t="s">
        <v>132</v>
      </c>
      <c r="E429">
        <v>0</v>
      </c>
      <c r="F429">
        <v>40701.75</v>
      </c>
      <c r="G429">
        <v>0</v>
      </c>
      <c r="H429">
        <v>5494.7362499999999</v>
      </c>
      <c r="I429">
        <v>5494.7362499999999</v>
      </c>
    </row>
    <row r="430" spans="1:9" x14ac:dyDescent="0.2">
      <c r="A430">
        <v>0.99413161999999999</v>
      </c>
      <c r="B430" t="s">
        <v>320</v>
      </c>
      <c r="C430" s="5">
        <v>44111</v>
      </c>
      <c r="D430" t="s">
        <v>150</v>
      </c>
      <c r="E430">
        <v>0</v>
      </c>
      <c r="F430">
        <v>40701.75</v>
      </c>
      <c r="G430">
        <v>0</v>
      </c>
      <c r="H430">
        <v>40462.896664339998</v>
      </c>
      <c r="I430">
        <v>40462.896664339998</v>
      </c>
    </row>
    <row r="431" spans="1:9" x14ac:dyDescent="0.2">
      <c r="A431">
        <v>0.42509955999999999</v>
      </c>
      <c r="B431" t="s">
        <v>320</v>
      </c>
      <c r="C431" s="5">
        <v>44164</v>
      </c>
      <c r="D431" t="s">
        <v>150</v>
      </c>
      <c r="E431">
        <v>0</v>
      </c>
      <c r="F431">
        <v>40701.75</v>
      </c>
      <c r="G431">
        <v>0</v>
      </c>
      <c r="H431">
        <v>17302.296016230001</v>
      </c>
      <c r="I431">
        <v>17302.296016230001</v>
      </c>
    </row>
    <row r="432" spans="1:9" x14ac:dyDescent="0.2">
      <c r="A432">
        <v>1</v>
      </c>
      <c r="B432" t="s">
        <v>320</v>
      </c>
      <c r="C432" s="5">
        <v>44177</v>
      </c>
      <c r="D432" t="s">
        <v>132</v>
      </c>
      <c r="E432">
        <v>0</v>
      </c>
      <c r="F432">
        <v>40701.75</v>
      </c>
      <c r="G432">
        <v>0</v>
      </c>
      <c r="H432">
        <v>40701.75</v>
      </c>
      <c r="I432">
        <v>40701.75</v>
      </c>
    </row>
    <row r="433" spans="1:9" x14ac:dyDescent="0.2">
      <c r="A433">
        <v>0.5</v>
      </c>
      <c r="B433" t="s">
        <v>320</v>
      </c>
      <c r="C433" s="5">
        <v>44178</v>
      </c>
      <c r="D433" t="s">
        <v>132</v>
      </c>
      <c r="E433">
        <v>0</v>
      </c>
      <c r="F433">
        <v>40701.75</v>
      </c>
      <c r="G433">
        <v>0</v>
      </c>
      <c r="H433">
        <v>20350.875</v>
      </c>
      <c r="I433">
        <v>20350.875</v>
      </c>
    </row>
    <row r="434" spans="1:9" x14ac:dyDescent="0.2">
      <c r="A434">
        <v>0.5</v>
      </c>
      <c r="B434" t="s">
        <v>320</v>
      </c>
      <c r="C434" s="5">
        <v>44186</v>
      </c>
      <c r="D434" t="s">
        <v>132</v>
      </c>
      <c r="E434">
        <v>0</v>
      </c>
      <c r="F434">
        <v>40701.75</v>
      </c>
      <c r="G434">
        <v>0</v>
      </c>
      <c r="H434">
        <v>20350.875</v>
      </c>
      <c r="I434">
        <v>20350.875</v>
      </c>
    </row>
    <row r="435" spans="1:9" x14ac:dyDescent="0.2">
      <c r="A435">
        <v>5.956579E-2</v>
      </c>
      <c r="B435" t="s">
        <v>320</v>
      </c>
      <c r="C435" s="5">
        <v>44199</v>
      </c>
      <c r="D435" t="s">
        <v>305</v>
      </c>
      <c r="E435">
        <v>0</v>
      </c>
      <c r="F435">
        <v>40701.75</v>
      </c>
      <c r="G435">
        <v>0</v>
      </c>
      <c r="H435">
        <v>2424.4318931299999</v>
      </c>
      <c r="I435">
        <v>2424.4318931299999</v>
      </c>
    </row>
    <row r="436" spans="1:9" x14ac:dyDescent="0.2">
      <c r="A436">
        <v>3</v>
      </c>
      <c r="B436" t="s">
        <v>320</v>
      </c>
      <c r="C436" s="5">
        <v>44225</v>
      </c>
      <c r="D436" t="s">
        <v>132</v>
      </c>
      <c r="E436">
        <v>0</v>
      </c>
      <c r="F436">
        <v>40701.75</v>
      </c>
      <c r="G436">
        <v>0</v>
      </c>
      <c r="H436">
        <v>122105.25</v>
      </c>
      <c r="I436">
        <v>122105.25</v>
      </c>
    </row>
    <row r="437" spans="1:9" x14ac:dyDescent="0.2">
      <c r="A437">
        <v>1.0127013300000001</v>
      </c>
      <c r="B437" t="s">
        <v>320</v>
      </c>
      <c r="C437" s="5">
        <v>44246</v>
      </c>
      <c r="D437" t="s">
        <v>150</v>
      </c>
      <c r="E437">
        <v>0</v>
      </c>
      <c r="F437">
        <v>40701.75</v>
      </c>
      <c r="G437">
        <v>0</v>
      </c>
      <c r="H437">
        <v>41218.716358329999</v>
      </c>
      <c r="I437">
        <v>41218.716358329999</v>
      </c>
    </row>
    <row r="438" spans="1:9" x14ac:dyDescent="0.2">
      <c r="A438">
        <v>0.5</v>
      </c>
      <c r="B438" t="s">
        <v>320</v>
      </c>
      <c r="C438" s="5">
        <v>44269</v>
      </c>
      <c r="D438" t="s">
        <v>152</v>
      </c>
      <c r="E438">
        <v>0</v>
      </c>
      <c r="F438">
        <v>40701.75</v>
      </c>
      <c r="G438">
        <v>0</v>
      </c>
      <c r="H438">
        <v>20350.875</v>
      </c>
      <c r="I438">
        <v>20350.875</v>
      </c>
    </row>
    <row r="439" spans="1:9" x14ac:dyDescent="0.2">
      <c r="A439">
        <v>2</v>
      </c>
      <c r="B439" t="s">
        <v>320</v>
      </c>
      <c r="C439" s="5">
        <v>44309</v>
      </c>
      <c r="D439" t="s">
        <v>132</v>
      </c>
      <c r="E439">
        <v>0</v>
      </c>
      <c r="F439">
        <v>40701.75</v>
      </c>
      <c r="G439">
        <v>0</v>
      </c>
      <c r="H439">
        <v>81403.5</v>
      </c>
      <c r="I439">
        <v>81403.5</v>
      </c>
    </row>
    <row r="440" spans="1:9" x14ac:dyDescent="0.2">
      <c r="A440">
        <v>0.50084733000000003</v>
      </c>
      <c r="B440" t="s">
        <v>320</v>
      </c>
      <c r="C440" s="5">
        <v>44333</v>
      </c>
      <c r="D440" t="s">
        <v>150</v>
      </c>
      <c r="E440">
        <v>0</v>
      </c>
      <c r="F440">
        <v>40701.75</v>
      </c>
      <c r="G440">
        <v>0</v>
      </c>
      <c r="H440">
        <v>20385.362813830001</v>
      </c>
      <c r="I440">
        <v>20385.362813830001</v>
      </c>
    </row>
    <row r="441" spans="1:9" x14ac:dyDescent="0.2">
      <c r="A441">
        <v>1.008982</v>
      </c>
      <c r="B441" t="s">
        <v>320</v>
      </c>
      <c r="C441" s="5">
        <v>44352</v>
      </c>
      <c r="D441" t="s">
        <v>150</v>
      </c>
      <c r="E441">
        <v>0</v>
      </c>
      <c r="F441">
        <v>40701.75</v>
      </c>
      <c r="G441">
        <v>0</v>
      </c>
      <c r="H441">
        <v>41067.333118499999</v>
      </c>
      <c r="I441">
        <v>41067.333118499999</v>
      </c>
    </row>
    <row r="442" spans="1:9" x14ac:dyDescent="0.2">
      <c r="A442">
        <v>1</v>
      </c>
      <c r="B442" t="s">
        <v>320</v>
      </c>
      <c r="C442" s="5">
        <v>44355</v>
      </c>
      <c r="D442" t="s">
        <v>132</v>
      </c>
      <c r="E442">
        <v>0</v>
      </c>
      <c r="F442">
        <v>40701.75</v>
      </c>
      <c r="G442">
        <v>0</v>
      </c>
      <c r="H442">
        <v>40701.75</v>
      </c>
      <c r="I442">
        <v>40701.75</v>
      </c>
    </row>
    <row r="443" spans="1:9" x14ac:dyDescent="0.2">
      <c r="A443">
        <v>1.9699999999999999E-2</v>
      </c>
      <c r="B443" t="s">
        <v>320</v>
      </c>
      <c r="C443" s="5">
        <v>44389.782442129625</v>
      </c>
      <c r="D443" t="s">
        <v>321</v>
      </c>
      <c r="E443">
        <v>0</v>
      </c>
      <c r="F443">
        <v>40701.75</v>
      </c>
      <c r="G443">
        <v>0</v>
      </c>
      <c r="H443">
        <v>801.82447500000001</v>
      </c>
      <c r="I443">
        <v>801.82447500000001</v>
      </c>
    </row>
    <row r="444" spans="1:9" x14ac:dyDescent="0.2">
      <c r="A444">
        <v>0.95875193000000003</v>
      </c>
      <c r="B444" t="s">
        <v>320</v>
      </c>
      <c r="C444" s="5">
        <v>44462</v>
      </c>
      <c r="D444" t="s">
        <v>166</v>
      </c>
      <c r="E444">
        <v>0</v>
      </c>
      <c r="F444">
        <v>40701.75</v>
      </c>
      <c r="G444">
        <v>0</v>
      </c>
      <c r="H444">
        <v>39022.881366879999</v>
      </c>
      <c r="I444">
        <v>39022.881366879999</v>
      </c>
    </row>
    <row r="445" spans="1:9" x14ac:dyDescent="0.2">
      <c r="A445">
        <v>1.04074296</v>
      </c>
      <c r="B445" t="s">
        <v>320</v>
      </c>
      <c r="C445" s="5">
        <v>44463</v>
      </c>
      <c r="D445" t="s">
        <v>152</v>
      </c>
      <c r="E445">
        <v>0</v>
      </c>
      <c r="F445">
        <v>40701.75</v>
      </c>
      <c r="G445">
        <v>0</v>
      </c>
      <c r="H445">
        <v>42360.05977218</v>
      </c>
      <c r="I445">
        <v>42360.05977218</v>
      </c>
    </row>
    <row r="446" spans="1:9" x14ac:dyDescent="0.2">
      <c r="A446">
        <v>1.53508475</v>
      </c>
      <c r="B446" t="s">
        <v>320</v>
      </c>
      <c r="C446" s="5">
        <v>44484</v>
      </c>
      <c r="D446" t="s">
        <v>150</v>
      </c>
      <c r="E446">
        <v>0</v>
      </c>
      <c r="F446">
        <v>40701.75</v>
      </c>
      <c r="G446">
        <v>0</v>
      </c>
      <c r="H446">
        <v>62480.635723309999</v>
      </c>
      <c r="I446">
        <v>62480.635723309999</v>
      </c>
    </row>
    <row r="447" spans="1:9" x14ac:dyDescent="0.2">
      <c r="A447">
        <v>4.5900390499999997</v>
      </c>
      <c r="B447" t="s">
        <v>322</v>
      </c>
      <c r="C447" s="5">
        <v>44333</v>
      </c>
      <c r="D447" t="s">
        <v>150</v>
      </c>
      <c r="E447">
        <v>0</v>
      </c>
      <c r="F447">
        <v>449.58520212000002</v>
      </c>
      <c r="G447">
        <v>0</v>
      </c>
      <c r="H447">
        <v>2063.6136340100002</v>
      </c>
      <c r="I447">
        <v>2063.6136340100002</v>
      </c>
    </row>
    <row r="448" spans="1:9" x14ac:dyDescent="0.2">
      <c r="A448">
        <v>50.835000000000001</v>
      </c>
      <c r="B448" t="s">
        <v>322</v>
      </c>
      <c r="C448" s="5">
        <v>44352</v>
      </c>
      <c r="D448" t="s">
        <v>150</v>
      </c>
      <c r="E448">
        <v>0</v>
      </c>
      <c r="F448">
        <v>449.58520212000002</v>
      </c>
      <c r="G448">
        <v>0</v>
      </c>
      <c r="H448">
        <v>22854.663749560001</v>
      </c>
      <c r="I448">
        <v>22854.663749560001</v>
      </c>
    </row>
    <row r="449" spans="1:9" x14ac:dyDescent="0.2">
      <c r="A449">
        <v>55.967500000000001</v>
      </c>
      <c r="B449" t="s">
        <v>322</v>
      </c>
      <c r="C449" s="5">
        <v>44355</v>
      </c>
      <c r="D449" t="s">
        <v>150</v>
      </c>
      <c r="E449">
        <v>0</v>
      </c>
      <c r="F449">
        <v>449.58520212000002</v>
      </c>
      <c r="G449">
        <v>0</v>
      </c>
      <c r="H449">
        <v>25162.159799419998</v>
      </c>
      <c r="I449">
        <v>25162.159799419998</v>
      </c>
    </row>
    <row r="450" spans="1:9" x14ac:dyDescent="0.2">
      <c r="A450">
        <v>19.72552138</v>
      </c>
      <c r="B450" t="s">
        <v>322</v>
      </c>
      <c r="C450" s="5">
        <v>44431</v>
      </c>
      <c r="D450" t="s">
        <v>158</v>
      </c>
      <c r="E450">
        <v>0</v>
      </c>
      <c r="F450">
        <v>449.58520212000002</v>
      </c>
      <c r="G450">
        <v>0</v>
      </c>
      <c r="H450">
        <v>8868.3025164699993</v>
      </c>
      <c r="I450">
        <v>8868.3025164699993</v>
      </c>
    </row>
    <row r="451" spans="1:9" x14ac:dyDescent="0.2">
      <c r="A451">
        <v>4.00472055</v>
      </c>
      <c r="B451" t="s">
        <v>322</v>
      </c>
      <c r="C451" s="5">
        <v>44463</v>
      </c>
      <c r="D451" t="s">
        <v>158</v>
      </c>
      <c r="E451">
        <v>0</v>
      </c>
      <c r="F451">
        <v>449.58520212000002</v>
      </c>
      <c r="G451">
        <v>0</v>
      </c>
      <c r="H451">
        <v>1800.46309789</v>
      </c>
      <c r="I451">
        <v>1800.46309789</v>
      </c>
    </row>
    <row r="452" spans="1:9" x14ac:dyDescent="0.2">
      <c r="A452">
        <v>20.401988889999998</v>
      </c>
      <c r="B452" t="s">
        <v>322</v>
      </c>
      <c r="C452" s="5">
        <v>44481</v>
      </c>
      <c r="D452" t="s">
        <v>158</v>
      </c>
      <c r="E452">
        <v>0</v>
      </c>
      <c r="F452">
        <v>449.58520212000002</v>
      </c>
      <c r="G452">
        <v>0</v>
      </c>
      <c r="H452">
        <v>9172.4322986700008</v>
      </c>
      <c r="I452">
        <v>9172.4322986700008</v>
      </c>
    </row>
    <row r="453" spans="1:9" x14ac:dyDescent="0.2">
      <c r="A453">
        <v>27.958105920000001</v>
      </c>
      <c r="B453" t="s">
        <v>322</v>
      </c>
      <c r="C453" s="5">
        <v>44490</v>
      </c>
      <c r="D453" t="s">
        <v>158</v>
      </c>
      <c r="E453">
        <v>0</v>
      </c>
      <c r="F453">
        <v>449.58520212000002</v>
      </c>
      <c r="G453">
        <v>0</v>
      </c>
      <c r="H453">
        <v>12569.55070082</v>
      </c>
      <c r="I453">
        <v>12569.55070082</v>
      </c>
    </row>
    <row r="454" spans="1:9" x14ac:dyDescent="0.2">
      <c r="A454">
        <v>13.75903866</v>
      </c>
      <c r="B454" t="s">
        <v>322</v>
      </c>
      <c r="C454" s="5">
        <v>44514</v>
      </c>
      <c r="D454" t="s">
        <v>158</v>
      </c>
      <c r="E454">
        <v>0</v>
      </c>
      <c r="F454">
        <v>449.58520212000002</v>
      </c>
      <c r="G454">
        <v>0</v>
      </c>
      <c r="H454">
        <v>6185.8601768799999</v>
      </c>
      <c r="I454">
        <v>6185.8601768799999</v>
      </c>
    </row>
    <row r="455" spans="1:9" x14ac:dyDescent="0.2">
      <c r="A455">
        <v>19.583072000000001</v>
      </c>
      <c r="B455" t="s">
        <v>322</v>
      </c>
      <c r="C455" s="5">
        <v>44539</v>
      </c>
      <c r="D455" t="s">
        <v>150</v>
      </c>
      <c r="E455">
        <v>0</v>
      </c>
      <c r="F455">
        <v>449.58520212000002</v>
      </c>
      <c r="G455">
        <v>0</v>
      </c>
      <c r="H455">
        <v>8804.2593831699996</v>
      </c>
      <c r="I455">
        <v>8804.2593831699996</v>
      </c>
    </row>
    <row r="456" spans="1:9" x14ac:dyDescent="0.2">
      <c r="A456">
        <v>27043.72</v>
      </c>
      <c r="B456" t="s">
        <v>323</v>
      </c>
      <c r="C456" s="5">
        <v>44218</v>
      </c>
      <c r="D456" t="s">
        <v>124</v>
      </c>
      <c r="E456">
        <v>0</v>
      </c>
      <c r="F456">
        <v>8.5537429999999998E-2</v>
      </c>
      <c r="G456">
        <v>0</v>
      </c>
      <c r="H456">
        <v>2313.2503454399998</v>
      </c>
      <c r="I456">
        <v>2313.2503454399998</v>
      </c>
    </row>
    <row r="457" spans="1:9" x14ac:dyDescent="0.2">
      <c r="A457">
        <v>62.556308850000001</v>
      </c>
      <c r="B457" t="s">
        <v>324</v>
      </c>
      <c r="C457" s="5">
        <v>44234</v>
      </c>
      <c r="D457" t="s">
        <v>166</v>
      </c>
      <c r="E457">
        <v>0</v>
      </c>
      <c r="F457">
        <v>0.19796068999999999</v>
      </c>
      <c r="G457">
        <v>0</v>
      </c>
      <c r="H457">
        <v>12.38368983</v>
      </c>
      <c r="I457">
        <v>12.38368983</v>
      </c>
    </row>
    <row r="458" spans="1:9" x14ac:dyDescent="0.2">
      <c r="A458">
        <v>4909.5644404100003</v>
      </c>
      <c r="B458" t="s">
        <v>325</v>
      </c>
      <c r="C458" s="5">
        <v>44003</v>
      </c>
      <c r="D458" t="s">
        <v>147</v>
      </c>
      <c r="E458">
        <v>0</v>
      </c>
      <c r="F458">
        <v>5.6554886599999996</v>
      </c>
      <c r="G458">
        <v>0</v>
      </c>
      <c r="H458">
        <v>27765.986037520001</v>
      </c>
      <c r="I458">
        <v>27765.986037520001</v>
      </c>
    </row>
    <row r="459" spans="1:9" x14ac:dyDescent="0.2">
      <c r="A459">
        <v>7000</v>
      </c>
      <c r="B459" t="s">
        <v>325</v>
      </c>
      <c r="C459" s="5">
        <v>44028</v>
      </c>
      <c r="D459" t="s">
        <v>147</v>
      </c>
      <c r="E459">
        <v>0</v>
      </c>
      <c r="F459">
        <v>5.6554886599999996</v>
      </c>
      <c r="G459">
        <v>0</v>
      </c>
      <c r="H459">
        <v>39588.420647439998</v>
      </c>
      <c r="I459">
        <v>39588.420647439998</v>
      </c>
    </row>
    <row r="460" spans="1:9" x14ac:dyDescent="0.2">
      <c r="A460">
        <v>4.0000000000000003E-5</v>
      </c>
      <c r="B460" t="s">
        <v>326</v>
      </c>
      <c r="C460" s="5">
        <v>44047</v>
      </c>
      <c r="D460" t="s">
        <v>152</v>
      </c>
      <c r="E460">
        <v>0</v>
      </c>
      <c r="F460">
        <v>0.12967688999999999</v>
      </c>
      <c r="G460">
        <v>0</v>
      </c>
      <c r="H460">
        <v>5.1900000000000003E-6</v>
      </c>
      <c r="I460">
        <v>5.1900000000000003E-6</v>
      </c>
    </row>
    <row r="461" spans="1:9" x14ac:dyDescent="0.2">
      <c r="A461">
        <v>25000</v>
      </c>
      <c r="B461" t="s">
        <v>327</v>
      </c>
      <c r="C461" s="5">
        <v>44053</v>
      </c>
      <c r="D461" t="s">
        <v>328</v>
      </c>
      <c r="E461">
        <v>0</v>
      </c>
      <c r="F461">
        <v>8.7770000000000003E-4</v>
      </c>
      <c r="G461">
        <v>0</v>
      </c>
      <c r="H461">
        <v>21.942486410000001</v>
      </c>
      <c r="I461">
        <v>21.942486410000001</v>
      </c>
    </row>
    <row r="462" spans="1:9" x14ac:dyDescent="0.2">
      <c r="A462">
        <v>11179</v>
      </c>
      <c r="B462" t="s">
        <v>327</v>
      </c>
      <c r="C462" s="5">
        <v>44494</v>
      </c>
      <c r="D462" t="s">
        <v>328</v>
      </c>
      <c r="E462">
        <v>0</v>
      </c>
      <c r="F462">
        <v>8.7770000000000003E-4</v>
      </c>
      <c r="G462">
        <v>0</v>
      </c>
      <c r="H462">
        <v>9.8118022200000006</v>
      </c>
      <c r="I462">
        <v>9.8118022200000006</v>
      </c>
    </row>
    <row r="463" spans="1:9" x14ac:dyDescent="0.2">
      <c r="A463">
        <v>83500</v>
      </c>
      <c r="B463" t="s">
        <v>329</v>
      </c>
      <c r="C463" s="5">
        <v>44355</v>
      </c>
      <c r="D463" t="s">
        <v>152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2">
      <c r="A464">
        <v>33166.64793847</v>
      </c>
      <c r="B464" t="s">
        <v>330</v>
      </c>
      <c r="C464" s="5">
        <v>44544</v>
      </c>
      <c r="D464" t="s">
        <v>152</v>
      </c>
      <c r="E464">
        <v>0</v>
      </c>
      <c r="F464">
        <v>0.99552768999999997</v>
      </c>
      <c r="G464">
        <v>0</v>
      </c>
      <c r="H464">
        <v>33018.316376520001</v>
      </c>
      <c r="I464">
        <v>33018.316376520001</v>
      </c>
    </row>
    <row r="465" spans="1:9" x14ac:dyDescent="0.2">
      <c r="A465">
        <v>2E-8</v>
      </c>
      <c r="B465" t="s">
        <v>331</v>
      </c>
      <c r="C465" s="5">
        <v>44158</v>
      </c>
      <c r="D465" t="s">
        <v>152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2">
      <c r="A466">
        <v>29734</v>
      </c>
      <c r="B466" t="s">
        <v>332</v>
      </c>
      <c r="C466" s="5">
        <v>44244</v>
      </c>
      <c r="D466" t="s">
        <v>127</v>
      </c>
      <c r="E466">
        <v>0</v>
      </c>
      <c r="F466">
        <v>1.0296461800000001</v>
      </c>
      <c r="G466">
        <v>0</v>
      </c>
      <c r="H466">
        <v>30615.49947087</v>
      </c>
      <c r="I466">
        <v>30615.49947087</v>
      </c>
    </row>
    <row r="467" spans="1:9" x14ac:dyDescent="0.2">
      <c r="A467">
        <v>263</v>
      </c>
      <c r="B467" t="s">
        <v>332</v>
      </c>
      <c r="C467" s="5">
        <v>44244</v>
      </c>
      <c r="D467" t="s">
        <v>127</v>
      </c>
      <c r="E467">
        <v>0</v>
      </c>
      <c r="F467">
        <v>1.0296461800000001</v>
      </c>
      <c r="G467">
        <v>0</v>
      </c>
      <c r="H467">
        <v>270.79694494</v>
      </c>
      <c r="I467">
        <v>270.79694494</v>
      </c>
    </row>
    <row r="468" spans="1:9" x14ac:dyDescent="0.2">
      <c r="A468">
        <v>1.3E-7</v>
      </c>
      <c r="B468" t="s">
        <v>333</v>
      </c>
      <c r="C468" s="5">
        <v>44544</v>
      </c>
      <c r="D468" t="s">
        <v>184</v>
      </c>
      <c r="E468">
        <v>0</v>
      </c>
      <c r="F468">
        <v>8.3015424099999997</v>
      </c>
      <c r="G468">
        <v>0</v>
      </c>
      <c r="H468">
        <v>1.08E-6</v>
      </c>
      <c r="I468">
        <v>1.08E-6</v>
      </c>
    </row>
    <row r="469" spans="1:9" x14ac:dyDescent="0.2">
      <c r="A469">
        <v>7.4339999999999996E-4</v>
      </c>
      <c r="B469" t="s">
        <v>333</v>
      </c>
      <c r="C469" s="5">
        <v>44550</v>
      </c>
      <c r="D469" t="s">
        <v>184</v>
      </c>
      <c r="E469">
        <v>0</v>
      </c>
      <c r="F469">
        <v>8.3015424099999997</v>
      </c>
      <c r="G469">
        <v>0</v>
      </c>
      <c r="H469">
        <v>6.1713699999999998E-3</v>
      </c>
      <c r="I469">
        <v>6.1713699999999998E-3</v>
      </c>
    </row>
    <row r="470" spans="1:9" x14ac:dyDescent="0.2">
      <c r="A470">
        <v>16666.666669999999</v>
      </c>
      <c r="B470" t="s">
        <v>334</v>
      </c>
      <c r="C470" s="5">
        <v>44092</v>
      </c>
      <c r="D470" t="s">
        <v>147</v>
      </c>
      <c r="E470">
        <v>0</v>
      </c>
      <c r="F470">
        <v>2.4314909999999999E-2</v>
      </c>
      <c r="G470">
        <v>0</v>
      </c>
      <c r="H470">
        <v>405.24846635</v>
      </c>
      <c r="I470">
        <v>405.24846635</v>
      </c>
    </row>
    <row r="471" spans="1:9" x14ac:dyDescent="0.2">
      <c r="A471">
        <v>166640</v>
      </c>
      <c r="B471" t="s">
        <v>335</v>
      </c>
      <c r="C471" s="5">
        <v>44149</v>
      </c>
      <c r="D471" t="s">
        <v>122</v>
      </c>
      <c r="E471">
        <v>0</v>
      </c>
      <c r="F471">
        <v>0</v>
      </c>
      <c r="G471">
        <v>0</v>
      </c>
      <c r="H471">
        <v>0</v>
      </c>
      <c r="I471">
        <v>0</v>
      </c>
    </row>
    <row r="472" spans="1:9" x14ac:dyDescent="0.2">
      <c r="A472">
        <v>937500</v>
      </c>
      <c r="B472" t="s">
        <v>336</v>
      </c>
      <c r="C472" s="5">
        <v>44266</v>
      </c>
      <c r="D472" t="s">
        <v>122</v>
      </c>
      <c r="E472">
        <v>0</v>
      </c>
      <c r="F472">
        <v>6.0302400000000001E-3</v>
      </c>
      <c r="G472">
        <v>0</v>
      </c>
      <c r="H472">
        <v>5653.3463908000003</v>
      </c>
      <c r="I472">
        <v>5653.3463908000003</v>
      </c>
    </row>
    <row r="473" spans="1:9" x14ac:dyDescent="0.2">
      <c r="A473">
        <v>1</v>
      </c>
      <c r="B473" t="s">
        <v>337</v>
      </c>
      <c r="C473" s="5">
        <v>44538</v>
      </c>
      <c r="D473" t="s">
        <v>122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2">
      <c r="A474">
        <v>11322.5</v>
      </c>
      <c r="B474" t="s">
        <v>338</v>
      </c>
      <c r="C474" s="5">
        <v>44365</v>
      </c>
      <c r="D474" t="s">
        <v>152</v>
      </c>
      <c r="E474">
        <v>0</v>
      </c>
      <c r="F474">
        <v>0.54162082</v>
      </c>
      <c r="G474">
        <v>0</v>
      </c>
      <c r="H474">
        <v>6132.5017049799999</v>
      </c>
      <c r="I474">
        <v>6132.5017049799999</v>
      </c>
    </row>
    <row r="475" spans="1:9" x14ac:dyDescent="0.2">
      <c r="A475">
        <v>51515.06</v>
      </c>
      <c r="B475" t="s">
        <v>339</v>
      </c>
      <c r="C475" s="5">
        <v>44314</v>
      </c>
      <c r="D475" t="s">
        <v>122</v>
      </c>
      <c r="E475">
        <v>0</v>
      </c>
      <c r="F475">
        <v>7.5897030000000004E-2</v>
      </c>
      <c r="G475">
        <v>0</v>
      </c>
      <c r="H475">
        <v>3909.8401509999999</v>
      </c>
      <c r="I475">
        <v>3909.8401509999999</v>
      </c>
    </row>
    <row r="476" spans="1:9" x14ac:dyDescent="0.2">
      <c r="A476">
        <v>5.16695E-3</v>
      </c>
      <c r="B476" t="s">
        <v>340</v>
      </c>
      <c r="C476" s="5">
        <v>44490</v>
      </c>
      <c r="D476" t="s">
        <v>150</v>
      </c>
      <c r="E476">
        <v>0</v>
      </c>
      <c r="F476">
        <v>4.0576600599999999</v>
      </c>
      <c r="G476">
        <v>0</v>
      </c>
      <c r="H476">
        <v>2.0965729999999998E-2</v>
      </c>
      <c r="I476">
        <v>2.0965729999999998E-2</v>
      </c>
    </row>
    <row r="477" spans="1:9" x14ac:dyDescent="0.2">
      <c r="A477">
        <v>15</v>
      </c>
      <c r="B477" t="s">
        <v>341</v>
      </c>
      <c r="C477" s="5">
        <v>44522</v>
      </c>
      <c r="D477" t="s">
        <v>152</v>
      </c>
      <c r="E477">
        <v>0</v>
      </c>
      <c r="F477">
        <v>0</v>
      </c>
      <c r="G477">
        <v>0</v>
      </c>
      <c r="H477">
        <v>0</v>
      </c>
      <c r="I477">
        <v>0</v>
      </c>
    </row>
    <row r="478" spans="1:9" x14ac:dyDescent="0.2">
      <c r="A478">
        <v>400.02565099999998</v>
      </c>
      <c r="B478" t="s">
        <v>342</v>
      </c>
      <c r="C478" s="5">
        <v>44250</v>
      </c>
      <c r="D478" t="s">
        <v>172</v>
      </c>
      <c r="E478">
        <v>0</v>
      </c>
      <c r="F478">
        <v>1.3786200000000001E-3</v>
      </c>
      <c r="G478">
        <v>0</v>
      </c>
      <c r="H478">
        <v>0.55148156000000004</v>
      </c>
      <c r="I478">
        <v>0.55148156000000004</v>
      </c>
    </row>
    <row r="479" spans="1:9" x14ac:dyDescent="0.2">
      <c r="A479">
        <v>0.31</v>
      </c>
      <c r="B479" t="s">
        <v>343</v>
      </c>
      <c r="C479" s="5">
        <v>44338</v>
      </c>
      <c r="D479" t="s">
        <v>150</v>
      </c>
      <c r="E479">
        <v>0</v>
      </c>
      <c r="F479">
        <v>66.834251559999998</v>
      </c>
      <c r="G479">
        <v>0</v>
      </c>
      <c r="H479">
        <v>20.718617980000001</v>
      </c>
      <c r="I479">
        <v>20.718617980000001</v>
      </c>
    </row>
    <row r="480" spans="1:9" x14ac:dyDescent="0.2">
      <c r="A480">
        <v>1250000</v>
      </c>
      <c r="B480" t="s">
        <v>344</v>
      </c>
      <c r="C480" s="5">
        <v>44514</v>
      </c>
      <c r="D480" t="s">
        <v>122</v>
      </c>
      <c r="E480">
        <v>0</v>
      </c>
      <c r="F480">
        <v>0.21982101000000001</v>
      </c>
      <c r="G480">
        <v>0</v>
      </c>
      <c r="H480">
        <v>274776.26623259002</v>
      </c>
      <c r="I480">
        <v>274776.26623259002</v>
      </c>
    </row>
    <row r="481" spans="1:9" x14ac:dyDescent="0.2">
      <c r="A481">
        <v>16556.38</v>
      </c>
      <c r="B481" t="s">
        <v>345</v>
      </c>
      <c r="C481" s="5">
        <v>43463</v>
      </c>
      <c r="D481" t="s">
        <v>295</v>
      </c>
      <c r="E481">
        <v>0</v>
      </c>
      <c r="F481">
        <v>0.50830048000000005</v>
      </c>
      <c r="G481">
        <v>0</v>
      </c>
      <c r="H481">
        <v>8415.6158530499997</v>
      </c>
      <c r="I481">
        <v>8415.6158530499997</v>
      </c>
    </row>
    <row r="482" spans="1:9" x14ac:dyDescent="0.2">
      <c r="A482">
        <v>14331.34</v>
      </c>
      <c r="B482" t="s">
        <v>345</v>
      </c>
      <c r="C482" s="5">
        <v>43531</v>
      </c>
      <c r="D482" t="s">
        <v>305</v>
      </c>
      <c r="E482">
        <v>0</v>
      </c>
      <c r="F482">
        <v>0.50830048000000005</v>
      </c>
      <c r="G482">
        <v>0</v>
      </c>
      <c r="H482">
        <v>7284.6269594799996</v>
      </c>
      <c r="I482">
        <v>7284.6269594799996</v>
      </c>
    </row>
    <row r="483" spans="1:9" x14ac:dyDescent="0.2">
      <c r="A483">
        <v>35399.760000000002</v>
      </c>
      <c r="B483" t="s">
        <v>345</v>
      </c>
      <c r="C483" s="5">
        <v>43576</v>
      </c>
      <c r="D483" t="s">
        <v>305</v>
      </c>
      <c r="E483">
        <v>0</v>
      </c>
      <c r="F483">
        <v>0.50830048000000005</v>
      </c>
      <c r="G483">
        <v>0</v>
      </c>
      <c r="H483">
        <v>17993.714897220001</v>
      </c>
      <c r="I483">
        <v>17993.714897220001</v>
      </c>
    </row>
    <row r="484" spans="1:9" x14ac:dyDescent="0.2">
      <c r="A484">
        <v>7468.34</v>
      </c>
      <c r="B484" t="s">
        <v>345</v>
      </c>
      <c r="C484" s="5">
        <v>43600</v>
      </c>
      <c r="D484" t="s">
        <v>305</v>
      </c>
      <c r="E484">
        <v>0</v>
      </c>
      <c r="F484">
        <v>0.50830048000000005</v>
      </c>
      <c r="G484">
        <v>0</v>
      </c>
      <c r="H484">
        <v>3796.1607851399999</v>
      </c>
      <c r="I484">
        <v>3796.1607851399999</v>
      </c>
    </row>
    <row r="485" spans="1:9" x14ac:dyDescent="0.2">
      <c r="A485">
        <v>41729.31</v>
      </c>
      <c r="B485" t="s">
        <v>345</v>
      </c>
      <c r="C485" s="5">
        <v>44111</v>
      </c>
      <c r="D485" t="s">
        <v>150</v>
      </c>
      <c r="E485">
        <v>0</v>
      </c>
      <c r="F485">
        <v>0.50830048000000005</v>
      </c>
      <c r="G485">
        <v>0</v>
      </c>
      <c r="H485">
        <v>21211.028182049999</v>
      </c>
      <c r="I485">
        <v>21211.028182049999</v>
      </c>
    </row>
    <row r="486" spans="1:9" x14ac:dyDescent="0.2">
      <c r="A486">
        <v>42272.07</v>
      </c>
      <c r="B486" t="s">
        <v>345</v>
      </c>
      <c r="C486" s="5">
        <v>44352</v>
      </c>
      <c r="D486" t="s">
        <v>150</v>
      </c>
      <c r="E486">
        <v>0</v>
      </c>
      <c r="F486">
        <v>0.50830048000000005</v>
      </c>
      <c r="G486">
        <v>0</v>
      </c>
      <c r="H486">
        <v>21486.913348999999</v>
      </c>
      <c r="I486">
        <v>21486.913348999999</v>
      </c>
    </row>
    <row r="487" spans="1:9" x14ac:dyDescent="0.2">
      <c r="A487">
        <v>76531.14</v>
      </c>
      <c r="B487" t="s">
        <v>345</v>
      </c>
      <c r="C487" s="5">
        <v>44358</v>
      </c>
      <c r="D487" t="s">
        <v>150</v>
      </c>
      <c r="E487">
        <v>0</v>
      </c>
      <c r="F487">
        <v>0.50830048000000005</v>
      </c>
      <c r="G487">
        <v>0</v>
      </c>
      <c r="H487">
        <v>38900.814975000001</v>
      </c>
      <c r="I487">
        <v>38900.814975000001</v>
      </c>
    </row>
    <row r="488" spans="1:9" x14ac:dyDescent="0.2">
      <c r="A488">
        <v>109248.2</v>
      </c>
      <c r="B488" t="s">
        <v>345</v>
      </c>
      <c r="C488" s="5">
        <v>44399</v>
      </c>
      <c r="D488" t="s">
        <v>150</v>
      </c>
      <c r="E488">
        <v>0</v>
      </c>
      <c r="F488">
        <v>0.50830048000000005</v>
      </c>
      <c r="G488">
        <v>0</v>
      </c>
      <c r="H488">
        <v>55530.912182309999</v>
      </c>
      <c r="I488">
        <v>55530.912182309999</v>
      </c>
    </row>
    <row r="489" spans="1:9" x14ac:dyDescent="0.2">
      <c r="A489">
        <v>5.2800000000000003E-6</v>
      </c>
      <c r="B489" t="s">
        <v>346</v>
      </c>
      <c r="C489" s="5">
        <v>44015</v>
      </c>
      <c r="D489" t="s">
        <v>305</v>
      </c>
      <c r="E489">
        <v>0</v>
      </c>
      <c r="F489">
        <v>1.9831893899999999</v>
      </c>
      <c r="G489">
        <v>0</v>
      </c>
      <c r="H489">
        <v>1.047E-5</v>
      </c>
      <c r="I489">
        <v>1.047E-5</v>
      </c>
    </row>
    <row r="490" spans="1:9" x14ac:dyDescent="0.2">
      <c r="A490">
        <v>45.433278090000002</v>
      </c>
      <c r="B490" t="s">
        <v>347</v>
      </c>
      <c r="C490" s="5">
        <v>44221</v>
      </c>
      <c r="D490" t="s">
        <v>150</v>
      </c>
      <c r="E490">
        <v>0</v>
      </c>
      <c r="F490">
        <v>1.78049558</v>
      </c>
      <c r="G490">
        <v>0</v>
      </c>
      <c r="H490">
        <v>80.893750600000004</v>
      </c>
      <c r="I490">
        <v>80.893750600000004</v>
      </c>
    </row>
    <row r="491" spans="1:9" x14ac:dyDescent="0.2">
      <c r="A491">
        <v>1</v>
      </c>
      <c r="B491" t="s">
        <v>348</v>
      </c>
      <c r="C491" s="5">
        <v>44459</v>
      </c>
      <c r="D491" t="s">
        <v>158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2">
      <c r="A492">
        <v>1</v>
      </c>
      <c r="B492" t="s">
        <v>348</v>
      </c>
      <c r="C492" s="5">
        <v>44474</v>
      </c>
      <c r="D492" t="s">
        <v>349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2">
      <c r="A493">
        <v>1</v>
      </c>
      <c r="B493" t="s">
        <v>348</v>
      </c>
      <c r="C493" s="5">
        <v>44474</v>
      </c>
      <c r="D493" t="s">
        <v>158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2">
      <c r="A494">
        <v>1</v>
      </c>
      <c r="B494" t="s">
        <v>348</v>
      </c>
      <c r="C494" s="5">
        <v>44480</v>
      </c>
      <c r="D494" t="s">
        <v>350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2">
      <c r="A495">
        <v>1</v>
      </c>
      <c r="B495" t="s">
        <v>348</v>
      </c>
      <c r="C495" s="5">
        <v>44480</v>
      </c>
      <c r="D495" t="s">
        <v>351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x14ac:dyDescent="0.2">
      <c r="A496">
        <v>1</v>
      </c>
      <c r="B496" t="s">
        <v>348</v>
      </c>
      <c r="C496" s="5">
        <v>44501</v>
      </c>
      <c r="D496" t="s">
        <v>351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x14ac:dyDescent="0.2">
      <c r="A497">
        <v>1</v>
      </c>
      <c r="B497" t="s">
        <v>348</v>
      </c>
      <c r="C497" s="5">
        <v>44501</v>
      </c>
      <c r="D497" t="s">
        <v>158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x14ac:dyDescent="0.2">
      <c r="A498">
        <v>1</v>
      </c>
      <c r="B498" t="s">
        <v>348</v>
      </c>
      <c r="C498" s="5">
        <v>44511</v>
      </c>
      <c r="D498" t="s">
        <v>352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x14ac:dyDescent="0.2">
      <c r="A499">
        <v>2.3699999999999999E-2</v>
      </c>
      <c r="B499" t="s">
        <v>353</v>
      </c>
      <c r="C499" s="5">
        <v>43347</v>
      </c>
      <c r="D499" t="s">
        <v>295</v>
      </c>
      <c r="E499">
        <v>0</v>
      </c>
      <c r="F499">
        <v>1.1670271699999999</v>
      </c>
      <c r="G499">
        <v>0</v>
      </c>
      <c r="H499">
        <v>2.7658539999999999E-2</v>
      </c>
      <c r="I499">
        <v>2.7658539999999999E-2</v>
      </c>
    </row>
    <row r="500" spans="1:9" x14ac:dyDescent="0.2">
      <c r="A500">
        <v>0.15</v>
      </c>
      <c r="B500" t="s">
        <v>354</v>
      </c>
      <c r="C500" s="5">
        <v>44336</v>
      </c>
      <c r="D500" t="s">
        <v>132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x14ac:dyDescent="0.2">
      <c r="A501">
        <v>11528.006900300001</v>
      </c>
      <c r="B501" t="s">
        <v>355</v>
      </c>
      <c r="C501" s="5">
        <v>43781</v>
      </c>
      <c r="D501" t="s">
        <v>305</v>
      </c>
      <c r="E501">
        <v>0</v>
      </c>
      <c r="F501">
        <v>5.5056799999999998E-3</v>
      </c>
      <c r="G501">
        <v>0</v>
      </c>
      <c r="H501">
        <v>63.469485759999998</v>
      </c>
      <c r="I501">
        <v>63.469485759999998</v>
      </c>
    </row>
    <row r="502" spans="1:9" x14ac:dyDescent="0.2">
      <c r="A502">
        <v>990000</v>
      </c>
      <c r="B502" t="s">
        <v>356</v>
      </c>
      <c r="C502" s="5">
        <v>44271</v>
      </c>
      <c r="D502" t="s">
        <v>122</v>
      </c>
      <c r="E502">
        <v>0</v>
      </c>
      <c r="F502">
        <v>9.9664829999999996E-2</v>
      </c>
      <c r="G502">
        <v>0</v>
      </c>
      <c r="H502">
        <v>98668.185914179994</v>
      </c>
      <c r="I502">
        <v>98668.185914179994</v>
      </c>
    </row>
    <row r="503" spans="1:9" x14ac:dyDescent="0.2">
      <c r="A503">
        <v>3382062.05</v>
      </c>
      <c r="B503" t="s">
        <v>357</v>
      </c>
      <c r="C503" s="5">
        <v>44376</v>
      </c>
      <c r="D503" t="s">
        <v>122</v>
      </c>
      <c r="E503">
        <v>0</v>
      </c>
      <c r="F503">
        <v>5.3429150000000002E-2</v>
      </c>
      <c r="G503">
        <v>0</v>
      </c>
      <c r="H503">
        <v>180700.70396232</v>
      </c>
      <c r="I503">
        <v>180700.70396232</v>
      </c>
    </row>
    <row r="504" spans="1:9" x14ac:dyDescent="0.2">
      <c r="A504">
        <v>350000</v>
      </c>
      <c r="B504" t="s">
        <v>357</v>
      </c>
      <c r="C504" s="5">
        <v>44450</v>
      </c>
      <c r="D504" t="s">
        <v>158</v>
      </c>
      <c r="E504">
        <v>0</v>
      </c>
      <c r="F504">
        <v>5.3429150000000002E-2</v>
      </c>
      <c r="G504">
        <v>0</v>
      </c>
      <c r="H504">
        <v>18700.202850149999</v>
      </c>
      <c r="I504">
        <v>18700.202850149999</v>
      </c>
    </row>
    <row r="505" spans="1:9" x14ac:dyDescent="0.2">
      <c r="A505">
        <v>29388.04535371</v>
      </c>
      <c r="B505" t="s">
        <v>358</v>
      </c>
      <c r="C505" s="5">
        <v>44482</v>
      </c>
      <c r="D505" t="s">
        <v>152</v>
      </c>
      <c r="E505">
        <v>0</v>
      </c>
      <c r="F505">
        <v>0.49858564999999999</v>
      </c>
      <c r="G505">
        <v>0</v>
      </c>
      <c r="H505">
        <v>14652.457632400001</v>
      </c>
      <c r="I505">
        <v>14652.457632400001</v>
      </c>
    </row>
    <row r="506" spans="1:9" x14ac:dyDescent="0.2">
      <c r="A506">
        <v>107.29822194</v>
      </c>
      <c r="B506" t="s">
        <v>359</v>
      </c>
      <c r="C506" s="5">
        <v>44536</v>
      </c>
      <c r="D506" t="s">
        <v>145</v>
      </c>
      <c r="E506">
        <v>0</v>
      </c>
      <c r="F506">
        <v>2.2201947099999999</v>
      </c>
      <c r="G506">
        <v>0</v>
      </c>
      <c r="H506">
        <v>238.22294435000001</v>
      </c>
      <c r="I506">
        <v>238.22294435000001</v>
      </c>
    </row>
    <row r="507" spans="1:9" x14ac:dyDescent="0.2">
      <c r="A507">
        <v>469886.71064</v>
      </c>
      <c r="B507" t="s">
        <v>360</v>
      </c>
      <c r="C507" s="5">
        <v>44078</v>
      </c>
      <c r="D507" t="s">
        <v>124</v>
      </c>
      <c r="E507">
        <v>0</v>
      </c>
      <c r="F507">
        <v>1.0030499999999999E-3</v>
      </c>
      <c r="G507">
        <v>0</v>
      </c>
      <c r="H507">
        <v>471.31960658000003</v>
      </c>
      <c r="I507">
        <v>471.31960658000003</v>
      </c>
    </row>
    <row r="508" spans="1:9" x14ac:dyDescent="0.2">
      <c r="A508">
        <v>12317.95803</v>
      </c>
      <c r="B508" t="s">
        <v>361</v>
      </c>
      <c r="C508" s="5">
        <v>44252</v>
      </c>
      <c r="D508" t="s">
        <v>152</v>
      </c>
      <c r="E508">
        <v>0</v>
      </c>
      <c r="F508">
        <v>7.6150499999999996E-2</v>
      </c>
      <c r="G508">
        <v>0</v>
      </c>
      <c r="H508">
        <v>938.01871298000003</v>
      </c>
      <c r="I508">
        <v>938.01871298000003</v>
      </c>
    </row>
    <row r="509" spans="1:9" x14ac:dyDescent="0.2">
      <c r="A509">
        <v>1567.8862489999999</v>
      </c>
      <c r="B509" t="s">
        <v>361</v>
      </c>
      <c r="C509" s="5">
        <v>44357</v>
      </c>
      <c r="D509" t="s">
        <v>152</v>
      </c>
      <c r="E509">
        <v>0</v>
      </c>
      <c r="F509">
        <v>7.6150499999999996E-2</v>
      </c>
      <c r="G509">
        <v>0</v>
      </c>
      <c r="H509">
        <v>119.39532817</v>
      </c>
      <c r="I509">
        <v>119.39532817</v>
      </c>
    </row>
    <row r="510" spans="1:9" x14ac:dyDescent="0.2">
      <c r="A510">
        <v>3459.6249068500001</v>
      </c>
      <c r="B510" t="s">
        <v>361</v>
      </c>
      <c r="C510" s="5">
        <v>44457</v>
      </c>
      <c r="D510" t="s">
        <v>362</v>
      </c>
      <c r="E510">
        <v>0</v>
      </c>
      <c r="F510">
        <v>7.6150499999999996E-2</v>
      </c>
      <c r="G510">
        <v>0</v>
      </c>
      <c r="H510">
        <v>263.45218052000001</v>
      </c>
      <c r="I510">
        <v>263.45218052000001</v>
      </c>
    </row>
    <row r="511" spans="1:9" x14ac:dyDescent="0.2">
      <c r="A511">
        <v>100000</v>
      </c>
      <c r="B511" t="s">
        <v>363</v>
      </c>
      <c r="C511" s="5">
        <v>44325</v>
      </c>
      <c r="D511" t="s">
        <v>122</v>
      </c>
      <c r="E511">
        <v>0</v>
      </c>
      <c r="F511">
        <v>2.239412E-2</v>
      </c>
      <c r="G511">
        <v>0</v>
      </c>
      <c r="H511">
        <v>2239.4118723699999</v>
      </c>
      <c r="I511">
        <v>2239.4118723699999</v>
      </c>
    </row>
    <row r="512" spans="1:9" x14ac:dyDescent="0.2">
      <c r="A512">
        <v>430.3048665</v>
      </c>
      <c r="B512" t="s">
        <v>364</v>
      </c>
      <c r="C512" s="5">
        <v>44462</v>
      </c>
      <c r="D512" t="s">
        <v>166</v>
      </c>
      <c r="E512">
        <v>0</v>
      </c>
      <c r="F512">
        <v>0.23599461999999999</v>
      </c>
      <c r="G512">
        <v>0</v>
      </c>
      <c r="H512">
        <v>101.54963195000001</v>
      </c>
      <c r="I512">
        <v>101.54963195000001</v>
      </c>
    </row>
    <row r="513" spans="1:9" x14ac:dyDescent="0.2">
      <c r="A513">
        <v>134621.4852</v>
      </c>
      <c r="B513" t="s">
        <v>365</v>
      </c>
      <c r="C513" s="5">
        <v>44550</v>
      </c>
      <c r="D513" t="s">
        <v>184</v>
      </c>
      <c r="E513">
        <v>0</v>
      </c>
      <c r="F513">
        <v>1.0549040000000001E-2</v>
      </c>
      <c r="G513">
        <v>0</v>
      </c>
      <c r="H513">
        <v>1420.12700524</v>
      </c>
      <c r="I513">
        <v>1420.12700524</v>
      </c>
    </row>
    <row r="514" spans="1:9" x14ac:dyDescent="0.2">
      <c r="A514">
        <v>304887.92090000003</v>
      </c>
      <c r="B514" t="s">
        <v>365</v>
      </c>
      <c r="C514" s="5">
        <v>44561</v>
      </c>
      <c r="D514" t="s">
        <v>184</v>
      </c>
      <c r="E514">
        <v>0</v>
      </c>
      <c r="F514">
        <v>1.0549040000000001E-2</v>
      </c>
      <c r="G514">
        <v>0</v>
      </c>
      <c r="H514">
        <v>3216.2739060399999</v>
      </c>
      <c r="I514">
        <v>3216.2739060399999</v>
      </c>
    </row>
    <row r="515" spans="1:9" x14ac:dyDescent="0.2">
      <c r="A515">
        <v>1.29</v>
      </c>
      <c r="B515" t="s">
        <v>366</v>
      </c>
      <c r="C515" s="5">
        <v>44230</v>
      </c>
      <c r="D515" t="s">
        <v>150</v>
      </c>
      <c r="E515">
        <v>0</v>
      </c>
      <c r="F515">
        <v>4.4121606099999999</v>
      </c>
      <c r="G515">
        <v>0</v>
      </c>
      <c r="H515">
        <v>5.6916871799999997</v>
      </c>
      <c r="I515">
        <v>5.6916871799999997</v>
      </c>
    </row>
    <row r="516" spans="1:9" x14ac:dyDescent="0.2">
      <c r="A516">
        <v>311</v>
      </c>
      <c r="B516" t="s">
        <v>367</v>
      </c>
      <c r="C516" s="5">
        <v>44231</v>
      </c>
      <c r="D516" t="s">
        <v>150</v>
      </c>
      <c r="E516">
        <v>0</v>
      </c>
      <c r="F516">
        <v>0.14967411999999999</v>
      </c>
      <c r="G516">
        <v>0</v>
      </c>
      <c r="H516">
        <v>46.548650950000003</v>
      </c>
      <c r="I516">
        <v>46.548650950000003</v>
      </c>
    </row>
    <row r="517" spans="1:9" x14ac:dyDescent="0.2">
      <c r="A517">
        <v>1</v>
      </c>
      <c r="B517" t="s">
        <v>368</v>
      </c>
      <c r="C517" s="5">
        <v>44295</v>
      </c>
      <c r="D517" t="s">
        <v>122</v>
      </c>
      <c r="E517">
        <v>0</v>
      </c>
      <c r="F517">
        <v>0.20104883000000001</v>
      </c>
      <c r="G517">
        <v>0</v>
      </c>
      <c r="H517">
        <v>0.20104883000000001</v>
      </c>
      <c r="I517">
        <v>0.20104883000000001</v>
      </c>
    </row>
  </sheetData>
  <phoneticPr fontId="12" type="noConversion"/>
  <pageMargins left="0.7" right="0.7" top="0.75" bottom="0.75" header="0.3" footer="0.3"/>
  <pageSetup paperSize="9" scale="53" fitToHeight="1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77FE-F39C-CA46-A537-31B9E5257CCF}">
  <sheetPr codeName="Tabelle13">
    <tabColor theme="9" tint="0.59999389629810485"/>
    <pageSetUpPr fitToPage="1"/>
  </sheetPr>
  <dimension ref="A1:N739"/>
  <sheetViews>
    <sheetView view="pageBreakPreview" zoomScale="90" zoomScaleNormal="100" zoomScaleSheetLayoutView="90" workbookViewId="0">
      <selection activeCell="E8" sqref="E8:G514"/>
    </sheetView>
  </sheetViews>
  <sheetFormatPr baseColWidth="10" defaultRowHeight="15" x14ac:dyDescent="0.2"/>
  <cols>
    <col min="1" max="1" width="15" customWidth="1"/>
    <col min="2" max="2" width="8.1640625" bestFit="1" customWidth="1"/>
    <col min="3" max="3" width="14.5" customWidth="1"/>
    <col min="4" max="4" width="21.1640625" customWidth="1"/>
    <col min="5" max="5" width="14.5" bestFit="1" customWidth="1"/>
    <col min="6" max="6" width="23.83203125" customWidth="1"/>
    <col min="7" max="7" width="17.5" customWidth="1"/>
    <col min="8" max="8" width="2" customWidth="1"/>
  </cols>
  <sheetData>
    <row r="1" spans="1:14" ht="29" x14ac:dyDescent="0.35">
      <c r="A1" s="3" t="s">
        <v>16</v>
      </c>
      <c r="E1" s="19"/>
      <c r="F1" s="19"/>
      <c r="G1" s="19"/>
      <c r="I1" s="119" t="s">
        <v>97</v>
      </c>
    </row>
    <row r="2" spans="1:14" ht="19" x14ac:dyDescent="0.25">
      <c r="A2" s="8" t="s">
        <v>17</v>
      </c>
      <c r="E2" s="19"/>
      <c r="F2" s="19"/>
      <c r="G2" s="19"/>
      <c r="I2" s="120" t="s">
        <v>113</v>
      </c>
      <c r="N2" s="59"/>
    </row>
    <row r="3" spans="1:14" ht="19" x14ac:dyDescent="0.25">
      <c r="A3" s="6"/>
      <c r="E3" s="19"/>
      <c r="F3" s="19"/>
      <c r="G3" s="19"/>
      <c r="I3" s="120" t="s">
        <v>98</v>
      </c>
      <c r="N3" s="59"/>
    </row>
    <row r="4" spans="1:14" ht="19" x14ac:dyDescent="0.25">
      <c r="E4" s="19"/>
      <c r="F4" s="19"/>
      <c r="G4" s="19"/>
      <c r="I4" s="120"/>
    </row>
    <row r="5" spans="1:14" s="8" customFormat="1" ht="29" x14ac:dyDescent="0.35">
      <c r="A5" s="3">
        <f>Zusammenfassung!A4</f>
        <v>2021</v>
      </c>
      <c r="C5" s="9"/>
      <c r="E5" s="24"/>
      <c r="F5" s="24"/>
      <c r="G5" s="24"/>
    </row>
    <row r="6" spans="1:14" x14ac:dyDescent="0.2">
      <c r="D6" s="4" t="s">
        <v>79</v>
      </c>
      <c r="E6" s="19"/>
      <c r="F6" s="19"/>
      <c r="G6" s="19"/>
    </row>
    <row r="7" spans="1:14" x14ac:dyDescent="0.2">
      <c r="A7" t="s">
        <v>3</v>
      </c>
      <c r="B7" t="s">
        <v>4</v>
      </c>
      <c r="C7" s="112" t="s">
        <v>5</v>
      </c>
      <c r="D7" t="s">
        <v>32</v>
      </c>
      <c r="E7" s="100" t="s">
        <v>6</v>
      </c>
      <c r="F7" s="101" t="s">
        <v>37</v>
      </c>
      <c r="G7" s="100" t="s">
        <v>7</v>
      </c>
    </row>
    <row r="8" spans="1:14" x14ac:dyDescent="0.2">
      <c r="A8" s="113">
        <v>1</v>
      </c>
      <c r="B8" t="s">
        <v>121</v>
      </c>
      <c r="C8" s="5">
        <v>44451</v>
      </c>
      <c r="D8" t="s">
        <v>122</v>
      </c>
      <c r="E8" s="18">
        <v>0</v>
      </c>
      <c r="F8" s="18">
        <v>0</v>
      </c>
      <c r="G8" s="18">
        <v>0</v>
      </c>
    </row>
    <row r="9" spans="1:14" x14ac:dyDescent="0.2">
      <c r="A9" s="113">
        <v>12506.10004309</v>
      </c>
      <c r="B9" t="s">
        <v>123</v>
      </c>
      <c r="C9" s="5">
        <v>44093</v>
      </c>
      <c r="D9" t="s">
        <v>124</v>
      </c>
      <c r="E9" s="18">
        <v>0</v>
      </c>
      <c r="F9" s="18">
        <v>5.391584E-2</v>
      </c>
      <c r="G9" s="18">
        <v>0</v>
      </c>
    </row>
    <row r="10" spans="1:14" x14ac:dyDescent="0.2">
      <c r="A10" s="113">
        <v>3893.9</v>
      </c>
      <c r="B10" t="s">
        <v>123</v>
      </c>
      <c r="C10" s="5">
        <v>44119</v>
      </c>
      <c r="D10" t="s">
        <v>124</v>
      </c>
      <c r="E10" s="18">
        <v>0</v>
      </c>
      <c r="F10" s="18">
        <v>5.391584E-2</v>
      </c>
      <c r="G10" s="18">
        <v>0</v>
      </c>
    </row>
    <row r="11" spans="1:14" x14ac:dyDescent="0.2">
      <c r="A11" s="113">
        <v>3159267.22</v>
      </c>
      <c r="B11" t="s">
        <v>125</v>
      </c>
      <c r="C11" s="5">
        <v>44229</v>
      </c>
      <c r="D11" t="s">
        <v>122</v>
      </c>
      <c r="E11" s="18">
        <v>0</v>
      </c>
      <c r="F11" s="18">
        <v>8.9131660000000001E-2</v>
      </c>
      <c r="G11" s="18">
        <v>0</v>
      </c>
    </row>
    <row r="12" spans="1:14" x14ac:dyDescent="0.2">
      <c r="A12" s="113">
        <v>52.478842999999998</v>
      </c>
      <c r="B12" t="s">
        <v>126</v>
      </c>
      <c r="C12" s="5">
        <v>44282</v>
      </c>
      <c r="D12" t="s">
        <v>127</v>
      </c>
      <c r="E12" s="18">
        <v>0</v>
      </c>
      <c r="F12" s="18">
        <v>6.7948789999999995E-2</v>
      </c>
      <c r="G12" s="18">
        <v>0</v>
      </c>
    </row>
    <row r="13" spans="1:14" x14ac:dyDescent="0.2">
      <c r="A13" s="113">
        <v>50000</v>
      </c>
      <c r="B13" t="s">
        <v>128</v>
      </c>
      <c r="C13" s="5">
        <v>44435</v>
      </c>
      <c r="D13" t="s">
        <v>129</v>
      </c>
      <c r="E13" s="18">
        <v>0</v>
      </c>
      <c r="F13" s="18">
        <v>0.21037347000000001</v>
      </c>
      <c r="G13" s="18">
        <v>0</v>
      </c>
    </row>
    <row r="14" spans="1:14" x14ac:dyDescent="0.2">
      <c r="A14" s="113">
        <v>280000</v>
      </c>
      <c r="B14" t="s">
        <v>130</v>
      </c>
      <c r="C14" s="5">
        <v>44513</v>
      </c>
      <c r="D14" t="s">
        <v>122</v>
      </c>
      <c r="E14" s="18">
        <v>0</v>
      </c>
      <c r="F14" s="18">
        <v>0</v>
      </c>
      <c r="G14" s="18">
        <v>0</v>
      </c>
    </row>
    <row r="15" spans="1:14" x14ac:dyDescent="0.2">
      <c r="A15" s="113">
        <v>280000</v>
      </c>
      <c r="B15" t="s">
        <v>130</v>
      </c>
      <c r="C15" s="5">
        <v>44538</v>
      </c>
      <c r="D15" t="s">
        <v>127</v>
      </c>
      <c r="E15" s="18">
        <v>0</v>
      </c>
      <c r="F15" s="18">
        <v>0</v>
      </c>
      <c r="G15" s="18">
        <v>0</v>
      </c>
    </row>
    <row r="16" spans="1:14" x14ac:dyDescent="0.2">
      <c r="A16" s="113">
        <v>7.9699999999999999E-5</v>
      </c>
      <c r="B16" t="s">
        <v>131</v>
      </c>
      <c r="C16" s="5">
        <v>43164</v>
      </c>
      <c r="D16" t="s">
        <v>132</v>
      </c>
      <c r="E16" s="18">
        <v>0</v>
      </c>
      <c r="F16" s="18">
        <v>128.81788778000001</v>
      </c>
      <c r="G16" s="18">
        <v>0</v>
      </c>
    </row>
    <row r="17" spans="1:7" x14ac:dyDescent="0.2">
      <c r="A17" s="113">
        <v>15625</v>
      </c>
      <c r="B17" t="s">
        <v>133</v>
      </c>
      <c r="C17" s="5">
        <v>44021</v>
      </c>
      <c r="D17" t="s">
        <v>127</v>
      </c>
      <c r="E17" s="18">
        <v>0</v>
      </c>
      <c r="F17" s="18">
        <v>0.61299957999999999</v>
      </c>
      <c r="G17" s="18">
        <v>0</v>
      </c>
    </row>
    <row r="18" spans="1:7" x14ac:dyDescent="0.2">
      <c r="A18" s="113">
        <v>1.0000000000000001E-5</v>
      </c>
      <c r="B18" t="s">
        <v>134</v>
      </c>
      <c r="C18" s="5">
        <v>44250</v>
      </c>
      <c r="D18" t="s">
        <v>127</v>
      </c>
      <c r="E18" s="18">
        <v>0</v>
      </c>
      <c r="F18" s="18">
        <v>3.9457289999999999E-2</v>
      </c>
      <c r="G18" s="18">
        <v>0</v>
      </c>
    </row>
    <row r="19" spans="1:7" x14ac:dyDescent="0.2">
      <c r="A19" s="113">
        <v>1431390.48713</v>
      </c>
      <c r="B19" t="s">
        <v>135</v>
      </c>
      <c r="C19" s="5">
        <v>44297</v>
      </c>
      <c r="D19" t="s">
        <v>122</v>
      </c>
      <c r="E19" s="18">
        <v>0</v>
      </c>
      <c r="F19" s="18">
        <v>4.066413E-2</v>
      </c>
      <c r="G19" s="18">
        <v>0</v>
      </c>
    </row>
    <row r="20" spans="1:7" x14ac:dyDescent="0.2">
      <c r="A20" s="113">
        <v>16761996617.322998</v>
      </c>
      <c r="B20" t="s">
        <v>136</v>
      </c>
      <c r="C20" s="5">
        <v>44330</v>
      </c>
      <c r="D20" t="s">
        <v>124</v>
      </c>
      <c r="E20" s="18">
        <v>0</v>
      </c>
      <c r="F20" s="18">
        <v>0</v>
      </c>
      <c r="G20" s="18">
        <v>0</v>
      </c>
    </row>
    <row r="21" spans="1:7" x14ac:dyDescent="0.2">
      <c r="A21" s="113">
        <v>13333</v>
      </c>
      <c r="B21" t="s">
        <v>137</v>
      </c>
      <c r="C21" s="5">
        <v>44333</v>
      </c>
      <c r="D21" t="s">
        <v>122</v>
      </c>
      <c r="E21" s="18">
        <v>0</v>
      </c>
      <c r="F21" s="18">
        <v>2.996998E-2</v>
      </c>
      <c r="G21" s="18">
        <v>0</v>
      </c>
    </row>
    <row r="22" spans="1:7" x14ac:dyDescent="0.2">
      <c r="A22" s="113">
        <v>8</v>
      </c>
      <c r="B22" t="s">
        <v>138</v>
      </c>
      <c r="C22" s="5">
        <v>44438</v>
      </c>
      <c r="D22" t="s">
        <v>139</v>
      </c>
      <c r="E22" s="18">
        <v>0</v>
      </c>
      <c r="F22" s="18">
        <v>0.93952952999999995</v>
      </c>
      <c r="G22" s="18">
        <v>0</v>
      </c>
    </row>
    <row r="23" spans="1:7" x14ac:dyDescent="0.2">
      <c r="A23" s="113">
        <v>0.1</v>
      </c>
      <c r="B23" t="s">
        <v>140</v>
      </c>
      <c r="C23" s="5">
        <v>44525</v>
      </c>
      <c r="D23" t="s">
        <v>141</v>
      </c>
      <c r="E23" s="18">
        <v>0</v>
      </c>
      <c r="F23" s="18">
        <v>95.975352470000004</v>
      </c>
      <c r="G23" s="18">
        <v>0</v>
      </c>
    </row>
    <row r="24" spans="1:7" x14ac:dyDescent="0.2">
      <c r="A24" s="113">
        <v>40000</v>
      </c>
      <c r="B24" t="s">
        <v>142</v>
      </c>
      <c r="C24" s="5">
        <v>44270</v>
      </c>
      <c r="D24" t="s">
        <v>122</v>
      </c>
      <c r="E24" s="18">
        <v>0</v>
      </c>
      <c r="F24" s="18">
        <v>6.8654450000000006E-2</v>
      </c>
      <c r="G24" s="18">
        <v>0</v>
      </c>
    </row>
    <row r="25" spans="1:7" x14ac:dyDescent="0.2">
      <c r="A25" s="113">
        <v>160000</v>
      </c>
      <c r="B25" t="s">
        <v>143</v>
      </c>
      <c r="C25" s="5">
        <v>44312</v>
      </c>
      <c r="D25" t="s">
        <v>122</v>
      </c>
      <c r="E25" s="18">
        <v>0</v>
      </c>
      <c r="F25" s="18">
        <v>3.0188050000000001E-2</v>
      </c>
      <c r="G25" s="18">
        <v>0</v>
      </c>
    </row>
    <row r="26" spans="1:7" x14ac:dyDescent="0.2">
      <c r="A26" s="113">
        <v>124993.75</v>
      </c>
      <c r="B26" t="s">
        <v>144</v>
      </c>
      <c r="C26" s="5">
        <v>44487</v>
      </c>
      <c r="D26" t="s">
        <v>145</v>
      </c>
      <c r="E26" s="18">
        <v>0</v>
      </c>
      <c r="F26" s="18">
        <v>0</v>
      </c>
      <c r="G26" s="18">
        <v>0</v>
      </c>
    </row>
    <row r="27" spans="1:7" x14ac:dyDescent="0.2">
      <c r="A27" s="113">
        <v>75.152546290000004</v>
      </c>
      <c r="B27" t="s">
        <v>146</v>
      </c>
      <c r="C27" s="5">
        <v>44090</v>
      </c>
      <c r="D27" t="s">
        <v>147</v>
      </c>
      <c r="E27" s="18">
        <v>0</v>
      </c>
      <c r="F27" s="18">
        <v>0.26759418000000001</v>
      </c>
      <c r="G27" s="18">
        <v>0</v>
      </c>
    </row>
    <row r="28" spans="1:7" x14ac:dyDescent="0.2">
      <c r="A28" s="113">
        <v>1000</v>
      </c>
      <c r="B28" t="s">
        <v>148</v>
      </c>
      <c r="C28" s="5">
        <v>44298</v>
      </c>
      <c r="D28" t="s">
        <v>122</v>
      </c>
      <c r="E28" s="18">
        <v>0</v>
      </c>
      <c r="F28" s="18">
        <v>9.3221082600000003</v>
      </c>
      <c r="G28" s="18">
        <v>0</v>
      </c>
    </row>
    <row r="29" spans="1:7" x14ac:dyDescent="0.2">
      <c r="A29" s="113">
        <v>0.25996540000000001</v>
      </c>
      <c r="B29" t="s">
        <v>149</v>
      </c>
      <c r="C29" s="5">
        <v>44477</v>
      </c>
      <c r="D29" t="s">
        <v>150</v>
      </c>
      <c r="E29" s="18">
        <v>0</v>
      </c>
      <c r="F29" s="18">
        <v>0.53776794000000006</v>
      </c>
      <c r="G29" s="18">
        <v>0</v>
      </c>
    </row>
    <row r="30" spans="1:7" x14ac:dyDescent="0.2">
      <c r="A30" s="113">
        <v>1200000</v>
      </c>
      <c r="B30" t="s">
        <v>151</v>
      </c>
      <c r="C30" s="5">
        <v>44085</v>
      </c>
      <c r="D30" t="s">
        <v>152</v>
      </c>
      <c r="E30" s="18">
        <v>0</v>
      </c>
      <c r="F30" s="18">
        <v>0.11505079</v>
      </c>
      <c r="G30" s="18">
        <v>0</v>
      </c>
    </row>
    <row r="31" spans="1:7" x14ac:dyDescent="0.2">
      <c r="A31" s="113">
        <v>320000</v>
      </c>
      <c r="B31" t="s">
        <v>151</v>
      </c>
      <c r="C31" s="5">
        <v>44503</v>
      </c>
      <c r="D31" t="s">
        <v>122</v>
      </c>
      <c r="E31" s="18">
        <v>0</v>
      </c>
      <c r="F31" s="18">
        <v>0.11505079</v>
      </c>
      <c r="G31" s="18">
        <v>0</v>
      </c>
    </row>
    <row r="32" spans="1:7" x14ac:dyDescent="0.2">
      <c r="A32" s="113">
        <v>43178.602500000001</v>
      </c>
      <c r="B32" t="s">
        <v>153</v>
      </c>
      <c r="C32" s="5">
        <v>44285</v>
      </c>
      <c r="D32" t="s">
        <v>122</v>
      </c>
      <c r="E32" s="18">
        <v>0</v>
      </c>
      <c r="F32" s="18">
        <v>7.3308479999999995E-2</v>
      </c>
      <c r="G32" s="18">
        <v>0</v>
      </c>
    </row>
    <row r="33" spans="1:7" x14ac:dyDescent="0.2">
      <c r="A33" s="113">
        <v>55065.340602639997</v>
      </c>
      <c r="B33" t="s">
        <v>154</v>
      </c>
      <c r="C33" s="5">
        <v>44037</v>
      </c>
      <c r="D33" t="s">
        <v>124</v>
      </c>
      <c r="E33" s="18">
        <v>0</v>
      </c>
      <c r="F33" s="18">
        <v>1.506068E-2</v>
      </c>
      <c r="G33" s="18">
        <v>0</v>
      </c>
    </row>
    <row r="34" spans="1:7" x14ac:dyDescent="0.2">
      <c r="A34" s="113">
        <v>28014.6594</v>
      </c>
      <c r="B34" t="s">
        <v>154</v>
      </c>
      <c r="C34" s="5">
        <v>44037</v>
      </c>
      <c r="D34" t="s">
        <v>152</v>
      </c>
      <c r="E34" s="18">
        <v>0</v>
      </c>
      <c r="F34" s="18">
        <v>1.506068E-2</v>
      </c>
      <c r="G34" s="18">
        <v>0</v>
      </c>
    </row>
    <row r="35" spans="1:7" x14ac:dyDescent="0.2">
      <c r="A35" s="113">
        <v>500000</v>
      </c>
      <c r="B35" t="s">
        <v>155</v>
      </c>
      <c r="C35" s="5">
        <v>44079</v>
      </c>
      <c r="D35" t="s">
        <v>150</v>
      </c>
      <c r="E35" s="18">
        <v>0</v>
      </c>
      <c r="F35" s="18">
        <v>0</v>
      </c>
      <c r="G35" s="18">
        <v>0</v>
      </c>
    </row>
    <row r="36" spans="1:7" x14ac:dyDescent="0.2">
      <c r="A36" s="113">
        <v>122127.4051</v>
      </c>
      <c r="B36" t="s">
        <v>155</v>
      </c>
      <c r="C36" s="5">
        <v>44188</v>
      </c>
      <c r="D36" t="s">
        <v>152</v>
      </c>
      <c r="E36" s="18">
        <v>0</v>
      </c>
      <c r="F36" s="18">
        <v>0</v>
      </c>
      <c r="G36" s="18">
        <v>0</v>
      </c>
    </row>
    <row r="37" spans="1:7" x14ac:dyDescent="0.2">
      <c r="A37" s="113">
        <v>94108.443368430002</v>
      </c>
      <c r="B37" t="s">
        <v>155</v>
      </c>
      <c r="C37" s="5">
        <v>44228</v>
      </c>
      <c r="D37" t="s">
        <v>152</v>
      </c>
      <c r="E37" s="18">
        <v>0</v>
      </c>
      <c r="F37" s="18">
        <v>0</v>
      </c>
      <c r="G37" s="18">
        <v>0</v>
      </c>
    </row>
    <row r="38" spans="1:7" x14ac:dyDescent="0.2">
      <c r="A38" s="113">
        <v>534010.62119374005</v>
      </c>
      <c r="B38" t="s">
        <v>155</v>
      </c>
      <c r="C38" s="5">
        <v>44275</v>
      </c>
      <c r="D38" t="s">
        <v>152</v>
      </c>
      <c r="E38" s="18">
        <v>0</v>
      </c>
      <c r="F38" s="18">
        <v>0</v>
      </c>
      <c r="G38" s="18">
        <v>0</v>
      </c>
    </row>
    <row r="39" spans="1:7" x14ac:dyDescent="0.2">
      <c r="A39" s="113">
        <v>390000</v>
      </c>
      <c r="B39" t="s">
        <v>155</v>
      </c>
      <c r="C39" s="5">
        <v>44412</v>
      </c>
      <c r="D39" t="s">
        <v>152</v>
      </c>
      <c r="E39" s="18">
        <v>0</v>
      </c>
      <c r="F39" s="18">
        <v>0</v>
      </c>
      <c r="G39" s="18">
        <v>0</v>
      </c>
    </row>
    <row r="40" spans="1:7" x14ac:dyDescent="0.2">
      <c r="A40" s="113">
        <v>300266.83627597999</v>
      </c>
      <c r="B40" t="s">
        <v>155</v>
      </c>
      <c r="C40" s="5">
        <v>44413</v>
      </c>
      <c r="D40" t="s">
        <v>152</v>
      </c>
      <c r="E40" s="18">
        <v>0</v>
      </c>
      <c r="F40" s="18">
        <v>0</v>
      </c>
      <c r="G40" s="18">
        <v>0</v>
      </c>
    </row>
    <row r="41" spans="1:7" x14ac:dyDescent="0.2">
      <c r="A41" s="113">
        <v>15000</v>
      </c>
      <c r="B41" t="s">
        <v>156</v>
      </c>
      <c r="C41" s="5">
        <v>44242</v>
      </c>
      <c r="D41" t="s">
        <v>127</v>
      </c>
      <c r="E41" s="18">
        <v>0</v>
      </c>
      <c r="F41" s="18">
        <v>0.88992342000000002</v>
      </c>
      <c r="G41" s="18">
        <v>0</v>
      </c>
    </row>
    <row r="42" spans="1:7" x14ac:dyDescent="0.2">
      <c r="A42" s="113">
        <v>8249.8358025699999</v>
      </c>
      <c r="B42" t="s">
        <v>157</v>
      </c>
      <c r="C42" s="5">
        <v>44544</v>
      </c>
      <c r="D42" t="s">
        <v>158</v>
      </c>
      <c r="E42" s="18">
        <v>0</v>
      </c>
      <c r="F42" s="18">
        <v>0.87833055000000004</v>
      </c>
      <c r="G42" s="18">
        <v>0</v>
      </c>
    </row>
    <row r="43" spans="1:7" x14ac:dyDescent="0.2">
      <c r="A43" s="113">
        <v>100667.495157</v>
      </c>
      <c r="B43" t="s">
        <v>157</v>
      </c>
      <c r="C43" s="5">
        <v>44544</v>
      </c>
      <c r="D43" t="s">
        <v>152</v>
      </c>
      <c r="E43" s="18">
        <v>0</v>
      </c>
      <c r="F43" s="18">
        <v>0.87833055000000004</v>
      </c>
      <c r="G43" s="18">
        <v>0</v>
      </c>
    </row>
    <row r="44" spans="1:7" x14ac:dyDescent="0.2">
      <c r="A44" s="113">
        <v>27095</v>
      </c>
      <c r="B44" t="s">
        <v>157</v>
      </c>
      <c r="C44" s="5">
        <v>44550</v>
      </c>
      <c r="D44" t="s">
        <v>127</v>
      </c>
      <c r="E44" s="18">
        <v>0</v>
      </c>
      <c r="F44" s="18">
        <v>0.87833055000000004</v>
      </c>
      <c r="G44" s="18">
        <v>0</v>
      </c>
    </row>
    <row r="45" spans="1:7" x14ac:dyDescent="0.2">
      <c r="A45" s="113">
        <v>11000</v>
      </c>
      <c r="B45" t="s">
        <v>159</v>
      </c>
      <c r="C45" s="5">
        <v>44040</v>
      </c>
      <c r="D45" t="s">
        <v>152</v>
      </c>
      <c r="E45" s="18">
        <v>0</v>
      </c>
      <c r="F45" s="18">
        <v>1.085787E-2</v>
      </c>
      <c r="G45" s="18">
        <v>0</v>
      </c>
    </row>
    <row r="46" spans="1:7" x14ac:dyDescent="0.2">
      <c r="A46" s="113">
        <v>7.0000000000000007E-2</v>
      </c>
      <c r="B46" t="s">
        <v>160</v>
      </c>
      <c r="C46" s="5">
        <v>44484</v>
      </c>
      <c r="D46" t="s">
        <v>161</v>
      </c>
      <c r="E46" s="18">
        <v>0</v>
      </c>
      <c r="F46" s="18">
        <v>1.38659961</v>
      </c>
      <c r="G46" s="18">
        <v>0</v>
      </c>
    </row>
    <row r="47" spans="1:7" x14ac:dyDescent="0.2">
      <c r="A47" s="113">
        <v>358650</v>
      </c>
      <c r="B47" t="s">
        <v>162</v>
      </c>
      <c r="C47" s="5">
        <v>44381</v>
      </c>
      <c r="D47" t="s">
        <v>122</v>
      </c>
      <c r="E47" s="18">
        <v>0</v>
      </c>
      <c r="F47" s="18">
        <v>0.20615681999999999</v>
      </c>
      <c r="G47" s="18">
        <v>0</v>
      </c>
    </row>
    <row r="48" spans="1:7" x14ac:dyDescent="0.2">
      <c r="A48" s="113">
        <v>3001.5</v>
      </c>
      <c r="B48" t="s">
        <v>163</v>
      </c>
      <c r="C48" s="5">
        <v>44219</v>
      </c>
      <c r="D48" t="s">
        <v>152</v>
      </c>
      <c r="E48" s="18">
        <v>0</v>
      </c>
      <c r="F48" s="18">
        <v>9.2622662099999999</v>
      </c>
      <c r="G48" s="18">
        <v>0</v>
      </c>
    </row>
    <row r="49" spans="1:7" x14ac:dyDescent="0.2">
      <c r="A49" s="113">
        <v>166408.91906936999</v>
      </c>
      <c r="B49" t="s">
        <v>164</v>
      </c>
      <c r="C49" s="5">
        <v>44219</v>
      </c>
      <c r="D49" t="s">
        <v>152</v>
      </c>
      <c r="E49" s="18">
        <v>0</v>
      </c>
      <c r="F49" s="18">
        <v>4.7537759999999998E-2</v>
      </c>
      <c r="G49" s="18">
        <v>0</v>
      </c>
    </row>
    <row r="50" spans="1:7" x14ac:dyDescent="0.2">
      <c r="A50" s="113">
        <v>3525.9901420000001</v>
      </c>
      <c r="B50" t="s">
        <v>164</v>
      </c>
      <c r="C50" s="5">
        <v>44244</v>
      </c>
      <c r="D50" t="s">
        <v>124</v>
      </c>
      <c r="E50" s="18">
        <v>0</v>
      </c>
      <c r="F50" s="18">
        <v>4.7537759999999998E-2</v>
      </c>
      <c r="G50" s="18">
        <v>0</v>
      </c>
    </row>
    <row r="51" spans="1:7" x14ac:dyDescent="0.2">
      <c r="A51" s="113">
        <v>7088.9999980000002</v>
      </c>
      <c r="B51" t="s">
        <v>165</v>
      </c>
      <c r="C51" s="5">
        <v>44223</v>
      </c>
      <c r="D51" t="s">
        <v>166</v>
      </c>
      <c r="E51" s="18">
        <v>0</v>
      </c>
      <c r="F51" s="18">
        <v>0.12267937</v>
      </c>
      <c r="G51" s="18">
        <v>0</v>
      </c>
    </row>
    <row r="52" spans="1:7" x14ac:dyDescent="0.2">
      <c r="A52" s="113">
        <v>23.445912880000002</v>
      </c>
      <c r="B52" t="s">
        <v>167</v>
      </c>
      <c r="C52" s="5">
        <v>44207</v>
      </c>
      <c r="D52" t="s">
        <v>152</v>
      </c>
      <c r="E52" s="18">
        <v>0</v>
      </c>
      <c r="F52" s="18">
        <v>36.632975889999997</v>
      </c>
      <c r="G52" s="18">
        <v>0</v>
      </c>
    </row>
    <row r="53" spans="1:7" x14ac:dyDescent="0.2">
      <c r="A53" s="113">
        <v>737.35942352999996</v>
      </c>
      <c r="B53" t="s">
        <v>168</v>
      </c>
      <c r="C53" s="5">
        <v>44269</v>
      </c>
      <c r="D53" t="s">
        <v>152</v>
      </c>
      <c r="E53" s="18">
        <v>0</v>
      </c>
      <c r="F53" s="18">
        <v>2.0968637800000001</v>
      </c>
      <c r="G53" s="18">
        <v>0</v>
      </c>
    </row>
    <row r="54" spans="1:7" x14ac:dyDescent="0.2">
      <c r="A54" s="113">
        <v>750000</v>
      </c>
      <c r="B54" t="s">
        <v>169</v>
      </c>
      <c r="C54" s="5">
        <v>44285</v>
      </c>
      <c r="D54" t="s">
        <v>122</v>
      </c>
      <c r="E54" s="18">
        <v>0</v>
      </c>
      <c r="F54" s="18">
        <v>0.18682467999999999</v>
      </c>
      <c r="G54" s="18">
        <v>0</v>
      </c>
    </row>
    <row r="55" spans="1:7" x14ac:dyDescent="0.2">
      <c r="A55" s="113">
        <v>588235</v>
      </c>
      <c r="B55" t="s">
        <v>170</v>
      </c>
      <c r="C55" s="5">
        <v>44234</v>
      </c>
      <c r="D55" t="s">
        <v>152</v>
      </c>
      <c r="E55" s="18">
        <v>0</v>
      </c>
      <c r="F55" s="18">
        <v>0</v>
      </c>
      <c r="G55" s="18">
        <v>0</v>
      </c>
    </row>
    <row r="56" spans="1:7" x14ac:dyDescent="0.2">
      <c r="A56" s="113">
        <v>1000</v>
      </c>
      <c r="B56" t="s">
        <v>171</v>
      </c>
      <c r="C56" s="5">
        <v>44393</v>
      </c>
      <c r="D56" t="s">
        <v>172</v>
      </c>
      <c r="E56" s="18">
        <v>0</v>
      </c>
      <c r="F56" s="18">
        <v>0</v>
      </c>
      <c r="G56" s="18">
        <v>0</v>
      </c>
    </row>
    <row r="57" spans="1:7" x14ac:dyDescent="0.2">
      <c r="A57" s="113">
        <v>3.0000000000000001E-5</v>
      </c>
      <c r="B57" t="s">
        <v>173</v>
      </c>
      <c r="C57" s="5">
        <v>44151</v>
      </c>
      <c r="D57" t="s">
        <v>152</v>
      </c>
      <c r="E57" s="18">
        <v>0</v>
      </c>
      <c r="F57" s="18">
        <v>2.0350899999999998E-3</v>
      </c>
      <c r="G57" s="18">
        <v>0</v>
      </c>
    </row>
    <row r="58" spans="1:7" x14ac:dyDescent="0.2">
      <c r="A58" s="113">
        <v>43089.2</v>
      </c>
      <c r="B58" t="s">
        <v>174</v>
      </c>
      <c r="C58" s="5">
        <v>44288</v>
      </c>
      <c r="D58" t="s">
        <v>152</v>
      </c>
      <c r="E58" s="18">
        <v>0</v>
      </c>
      <c r="F58" s="18">
        <v>5.109201E-2</v>
      </c>
      <c r="G58" s="18">
        <v>0</v>
      </c>
    </row>
    <row r="59" spans="1:7" x14ac:dyDescent="0.2">
      <c r="A59" s="113">
        <v>266807.5</v>
      </c>
      <c r="B59" t="s">
        <v>174</v>
      </c>
      <c r="C59" s="5">
        <v>44288</v>
      </c>
      <c r="D59" t="s">
        <v>139</v>
      </c>
      <c r="E59" s="18">
        <v>0</v>
      </c>
      <c r="F59" s="18">
        <v>5.109201E-2</v>
      </c>
      <c r="G59" s="18">
        <v>0</v>
      </c>
    </row>
    <row r="60" spans="1:7" x14ac:dyDescent="0.2">
      <c r="A60" s="113">
        <v>400</v>
      </c>
      <c r="B60" t="s">
        <v>174</v>
      </c>
      <c r="C60" s="5">
        <v>44328</v>
      </c>
      <c r="D60" t="s">
        <v>139</v>
      </c>
      <c r="E60" s="18">
        <v>0</v>
      </c>
      <c r="F60" s="18">
        <v>5.109201E-2</v>
      </c>
      <c r="G60" s="18">
        <v>0</v>
      </c>
    </row>
    <row r="61" spans="1:7" x14ac:dyDescent="0.2">
      <c r="A61" s="113">
        <v>400</v>
      </c>
      <c r="B61" t="s">
        <v>174</v>
      </c>
      <c r="C61" s="5">
        <v>44328</v>
      </c>
      <c r="D61" t="s">
        <v>152</v>
      </c>
      <c r="E61" s="18">
        <v>0</v>
      </c>
      <c r="F61" s="18">
        <v>5.109201E-2</v>
      </c>
      <c r="G61" s="18">
        <v>0</v>
      </c>
    </row>
    <row r="62" spans="1:7" x14ac:dyDescent="0.2">
      <c r="A62" s="113">
        <v>50000</v>
      </c>
      <c r="B62" t="s">
        <v>175</v>
      </c>
      <c r="C62" s="5">
        <v>44293</v>
      </c>
      <c r="D62" t="s">
        <v>122</v>
      </c>
      <c r="E62" s="18">
        <v>0</v>
      </c>
      <c r="F62" s="18">
        <v>0.61999948000000005</v>
      </c>
      <c r="G62" s="18">
        <v>0</v>
      </c>
    </row>
    <row r="63" spans="1:7" x14ac:dyDescent="0.2">
      <c r="A63" s="113">
        <v>717948.7</v>
      </c>
      <c r="B63" t="s">
        <v>176</v>
      </c>
      <c r="C63" s="5">
        <v>44558</v>
      </c>
      <c r="D63" t="s">
        <v>122</v>
      </c>
      <c r="E63" s="18">
        <v>0</v>
      </c>
      <c r="F63" s="18">
        <v>0.13843496</v>
      </c>
      <c r="G63" s="18">
        <v>0</v>
      </c>
    </row>
    <row r="64" spans="1:7" x14ac:dyDescent="0.2">
      <c r="A64" s="113">
        <v>180000</v>
      </c>
      <c r="B64" t="s">
        <v>177</v>
      </c>
      <c r="C64" s="5">
        <v>44061</v>
      </c>
      <c r="D64" t="s">
        <v>147</v>
      </c>
      <c r="E64" s="18">
        <v>0</v>
      </c>
      <c r="F64" s="18">
        <v>0.39064922000000002</v>
      </c>
      <c r="G64" s="18">
        <v>0</v>
      </c>
    </row>
    <row r="65" spans="1:7" x14ac:dyDescent="0.2">
      <c r="A65" s="113">
        <v>11379.24864037</v>
      </c>
      <c r="B65" t="s">
        <v>178</v>
      </c>
      <c r="C65" s="5">
        <v>44068</v>
      </c>
      <c r="D65" t="s">
        <v>124</v>
      </c>
      <c r="E65" s="18">
        <v>0</v>
      </c>
      <c r="F65" s="18">
        <v>0</v>
      </c>
      <c r="G65" s="18">
        <v>0</v>
      </c>
    </row>
    <row r="66" spans="1:7" x14ac:dyDescent="0.2">
      <c r="A66" s="113">
        <v>4357.6837537199999</v>
      </c>
      <c r="B66" t="s">
        <v>179</v>
      </c>
      <c r="C66" s="5">
        <v>44120</v>
      </c>
      <c r="D66" t="s">
        <v>147</v>
      </c>
      <c r="E66" s="18">
        <v>0</v>
      </c>
      <c r="F66" s="18">
        <v>8.8237720000000006E-2</v>
      </c>
      <c r="G66" s="18">
        <v>0</v>
      </c>
    </row>
    <row r="67" spans="1:7" x14ac:dyDescent="0.2">
      <c r="A67" s="113">
        <v>4.0000000000000003E-5</v>
      </c>
      <c r="B67" t="s">
        <v>180</v>
      </c>
      <c r="C67" s="5">
        <v>44480</v>
      </c>
      <c r="D67" t="s">
        <v>161</v>
      </c>
      <c r="E67" s="18">
        <v>0</v>
      </c>
      <c r="F67" s="18">
        <v>0.76137973999999997</v>
      </c>
      <c r="G67" s="18">
        <v>0</v>
      </c>
    </row>
    <row r="68" spans="1:7" x14ac:dyDescent="0.2">
      <c r="A68" s="113">
        <v>7.8</v>
      </c>
      <c r="B68" t="s">
        <v>181</v>
      </c>
      <c r="C68" s="5">
        <v>44264</v>
      </c>
      <c r="D68" t="s">
        <v>150</v>
      </c>
      <c r="E68" s="18">
        <v>0</v>
      </c>
      <c r="F68" s="18">
        <v>0</v>
      </c>
      <c r="G68" s="18">
        <v>0</v>
      </c>
    </row>
    <row r="69" spans="1:7" x14ac:dyDescent="0.2">
      <c r="A69" s="113">
        <v>21911.251925550001</v>
      </c>
      <c r="B69" t="s">
        <v>182</v>
      </c>
      <c r="C69" s="5">
        <v>44081</v>
      </c>
      <c r="D69" t="s">
        <v>152</v>
      </c>
      <c r="E69" s="18">
        <v>0</v>
      </c>
      <c r="F69" s="18">
        <v>5.1097730000000001E-2</v>
      </c>
      <c r="G69" s="18">
        <v>0</v>
      </c>
    </row>
    <row r="70" spans="1:7" x14ac:dyDescent="0.2">
      <c r="A70" s="113">
        <v>21939.200000000001</v>
      </c>
      <c r="B70" t="s">
        <v>183</v>
      </c>
      <c r="C70" s="5">
        <v>44193</v>
      </c>
      <c r="D70" t="s">
        <v>150</v>
      </c>
      <c r="E70" s="18">
        <v>0</v>
      </c>
      <c r="F70" s="18">
        <v>0.60531469999999998</v>
      </c>
      <c r="G70" s="18">
        <v>0</v>
      </c>
    </row>
    <row r="71" spans="1:7" x14ac:dyDescent="0.2">
      <c r="A71" s="113">
        <v>5800</v>
      </c>
      <c r="B71" t="s">
        <v>183</v>
      </c>
      <c r="C71" s="5">
        <v>44194</v>
      </c>
      <c r="D71" t="s">
        <v>184</v>
      </c>
      <c r="E71" s="18">
        <v>0</v>
      </c>
      <c r="F71" s="18">
        <v>0.60531469999999998</v>
      </c>
      <c r="G71" s="18">
        <v>0</v>
      </c>
    </row>
    <row r="72" spans="1:7" x14ac:dyDescent="0.2">
      <c r="A72" s="113">
        <v>2900</v>
      </c>
      <c r="B72" t="s">
        <v>183</v>
      </c>
      <c r="C72" s="5">
        <v>44195</v>
      </c>
      <c r="D72" t="s">
        <v>184</v>
      </c>
      <c r="E72" s="18">
        <v>0</v>
      </c>
      <c r="F72" s="18">
        <v>0.60531469999999998</v>
      </c>
      <c r="G72" s="18">
        <v>0</v>
      </c>
    </row>
    <row r="73" spans="1:7" x14ac:dyDescent="0.2">
      <c r="A73" s="113">
        <v>2900</v>
      </c>
      <c r="B73" t="s">
        <v>183</v>
      </c>
      <c r="C73" s="5">
        <v>44196</v>
      </c>
      <c r="D73" t="s">
        <v>184</v>
      </c>
      <c r="E73" s="18">
        <v>0</v>
      </c>
      <c r="F73" s="18">
        <v>0.60531469999999998</v>
      </c>
      <c r="G73" s="18">
        <v>0</v>
      </c>
    </row>
    <row r="74" spans="1:7" x14ac:dyDescent="0.2">
      <c r="A74" s="113">
        <v>2900</v>
      </c>
      <c r="B74" t="s">
        <v>183</v>
      </c>
      <c r="C74" s="5">
        <v>44197</v>
      </c>
      <c r="D74" t="s">
        <v>184</v>
      </c>
      <c r="E74" s="18">
        <v>0</v>
      </c>
      <c r="F74" s="18">
        <v>0.60531469999999998</v>
      </c>
      <c r="G74" s="18">
        <v>0</v>
      </c>
    </row>
    <row r="75" spans="1:7" x14ac:dyDescent="0.2">
      <c r="A75" s="113">
        <v>5800</v>
      </c>
      <c r="B75" t="s">
        <v>183</v>
      </c>
      <c r="C75" s="5">
        <v>44198</v>
      </c>
      <c r="D75" t="s">
        <v>184</v>
      </c>
      <c r="E75" s="18">
        <v>0</v>
      </c>
      <c r="F75" s="18">
        <v>0.60531469999999998</v>
      </c>
      <c r="G75" s="18">
        <v>0</v>
      </c>
    </row>
    <row r="76" spans="1:7" x14ac:dyDescent="0.2">
      <c r="A76" s="113">
        <v>2900</v>
      </c>
      <c r="B76" t="s">
        <v>183</v>
      </c>
      <c r="C76" s="5">
        <v>44199</v>
      </c>
      <c r="D76" t="s">
        <v>184</v>
      </c>
      <c r="E76" s="18">
        <v>0</v>
      </c>
      <c r="F76" s="18">
        <v>0.60531469999999998</v>
      </c>
      <c r="G76" s="18">
        <v>0</v>
      </c>
    </row>
    <row r="77" spans="1:7" x14ac:dyDescent="0.2">
      <c r="A77" s="113">
        <v>2900</v>
      </c>
      <c r="B77" t="s">
        <v>183</v>
      </c>
      <c r="C77" s="5">
        <v>44200</v>
      </c>
      <c r="D77" t="s">
        <v>184</v>
      </c>
      <c r="E77" s="18">
        <v>0</v>
      </c>
      <c r="F77" s="18">
        <v>0.60531469999999998</v>
      </c>
      <c r="G77" s="18">
        <v>0</v>
      </c>
    </row>
    <row r="78" spans="1:7" x14ac:dyDescent="0.2">
      <c r="A78" s="113">
        <v>2900</v>
      </c>
      <c r="B78" t="s">
        <v>183</v>
      </c>
      <c r="C78" s="5">
        <v>44201</v>
      </c>
      <c r="D78" t="s">
        <v>184</v>
      </c>
      <c r="E78" s="18">
        <v>0</v>
      </c>
      <c r="F78" s="18">
        <v>0.60531469999999998</v>
      </c>
      <c r="G78" s="18">
        <v>0</v>
      </c>
    </row>
    <row r="79" spans="1:7" x14ac:dyDescent="0.2">
      <c r="A79" s="113">
        <v>2900</v>
      </c>
      <c r="B79" t="s">
        <v>183</v>
      </c>
      <c r="C79" s="5">
        <v>44203</v>
      </c>
      <c r="D79" t="s">
        <v>184</v>
      </c>
      <c r="E79" s="18">
        <v>0</v>
      </c>
      <c r="F79" s="18">
        <v>0.60531469999999998</v>
      </c>
      <c r="G79" s="18">
        <v>0</v>
      </c>
    </row>
    <row r="80" spans="1:7" x14ac:dyDescent="0.2">
      <c r="A80" s="113">
        <v>2900</v>
      </c>
      <c r="B80" t="s">
        <v>183</v>
      </c>
      <c r="C80" s="5">
        <v>44204</v>
      </c>
      <c r="D80" t="s">
        <v>184</v>
      </c>
      <c r="E80" s="18">
        <v>0</v>
      </c>
      <c r="F80" s="18">
        <v>0.60531469999999998</v>
      </c>
      <c r="G80" s="18">
        <v>0</v>
      </c>
    </row>
    <row r="81" spans="1:7" x14ac:dyDescent="0.2">
      <c r="A81" s="113">
        <v>2900</v>
      </c>
      <c r="B81" t="s">
        <v>183</v>
      </c>
      <c r="C81" s="5">
        <v>44206</v>
      </c>
      <c r="D81" t="s">
        <v>184</v>
      </c>
      <c r="E81" s="18">
        <v>0</v>
      </c>
      <c r="F81" s="18">
        <v>0.60531469999999998</v>
      </c>
      <c r="G81" s="18">
        <v>0</v>
      </c>
    </row>
    <row r="82" spans="1:7" x14ac:dyDescent="0.2">
      <c r="A82" s="113">
        <v>2900</v>
      </c>
      <c r="B82" t="s">
        <v>183</v>
      </c>
      <c r="C82" s="5">
        <v>44210</v>
      </c>
      <c r="D82" t="s">
        <v>184</v>
      </c>
      <c r="E82" s="18">
        <v>0</v>
      </c>
      <c r="F82" s="18">
        <v>0.60531469999999998</v>
      </c>
      <c r="G82" s="18">
        <v>0</v>
      </c>
    </row>
    <row r="83" spans="1:7" x14ac:dyDescent="0.2">
      <c r="A83" s="113">
        <v>5800</v>
      </c>
      <c r="B83" t="s">
        <v>183</v>
      </c>
      <c r="C83" s="5">
        <v>44211</v>
      </c>
      <c r="D83" t="s">
        <v>184</v>
      </c>
      <c r="E83" s="18">
        <v>0</v>
      </c>
      <c r="F83" s="18">
        <v>0.60531469999999998</v>
      </c>
      <c r="G83" s="18">
        <v>0</v>
      </c>
    </row>
    <row r="84" spans="1:7" x14ac:dyDescent="0.2">
      <c r="A84" s="113">
        <v>5800</v>
      </c>
      <c r="B84" t="s">
        <v>183</v>
      </c>
      <c r="C84" s="5">
        <v>44221</v>
      </c>
      <c r="D84" t="s">
        <v>184</v>
      </c>
      <c r="E84" s="18">
        <v>0</v>
      </c>
      <c r="F84" s="18">
        <v>0.60531469999999998</v>
      </c>
      <c r="G84" s="18">
        <v>0</v>
      </c>
    </row>
    <row r="85" spans="1:7" x14ac:dyDescent="0.2">
      <c r="A85" s="113">
        <v>2900</v>
      </c>
      <c r="B85" t="s">
        <v>183</v>
      </c>
      <c r="C85" s="5">
        <v>44223</v>
      </c>
      <c r="D85" t="s">
        <v>184</v>
      </c>
      <c r="E85" s="18">
        <v>0</v>
      </c>
      <c r="F85" s="18">
        <v>0.60531469999999998</v>
      </c>
      <c r="G85" s="18">
        <v>0</v>
      </c>
    </row>
    <row r="86" spans="1:7" x14ac:dyDescent="0.2">
      <c r="A86" s="113">
        <v>2900</v>
      </c>
      <c r="B86" t="s">
        <v>183</v>
      </c>
      <c r="C86" s="5">
        <v>44225</v>
      </c>
      <c r="D86" t="s">
        <v>184</v>
      </c>
      <c r="E86" s="18">
        <v>0</v>
      </c>
      <c r="F86" s="18">
        <v>0.60531469999999998</v>
      </c>
      <c r="G86" s="18">
        <v>0</v>
      </c>
    </row>
    <row r="87" spans="1:7" x14ac:dyDescent="0.2">
      <c r="A87" s="113">
        <v>2900</v>
      </c>
      <c r="B87" t="s">
        <v>183</v>
      </c>
      <c r="C87" s="5">
        <v>44240</v>
      </c>
      <c r="D87" t="s">
        <v>184</v>
      </c>
      <c r="E87" s="18">
        <v>0</v>
      </c>
      <c r="F87" s="18">
        <v>0.60531469999999998</v>
      </c>
      <c r="G87" s="18">
        <v>0</v>
      </c>
    </row>
    <row r="88" spans="1:7" x14ac:dyDescent="0.2">
      <c r="A88" s="113">
        <v>2900</v>
      </c>
      <c r="B88" t="s">
        <v>183</v>
      </c>
      <c r="C88" s="5">
        <v>44242</v>
      </c>
      <c r="D88" t="s">
        <v>184</v>
      </c>
      <c r="E88" s="18">
        <v>0</v>
      </c>
      <c r="F88" s="18">
        <v>0.60531469999999998</v>
      </c>
      <c r="G88" s="18">
        <v>0</v>
      </c>
    </row>
    <row r="89" spans="1:7" x14ac:dyDescent="0.2">
      <c r="A89" s="113">
        <v>2900</v>
      </c>
      <c r="B89" t="s">
        <v>183</v>
      </c>
      <c r="C89" s="5">
        <v>44252</v>
      </c>
      <c r="D89" t="s">
        <v>184</v>
      </c>
      <c r="E89" s="18">
        <v>0</v>
      </c>
      <c r="F89" s="18">
        <v>0.60531469999999998</v>
      </c>
      <c r="G89" s="18">
        <v>0</v>
      </c>
    </row>
    <row r="90" spans="1:7" x14ac:dyDescent="0.2">
      <c r="A90" s="113">
        <v>2900</v>
      </c>
      <c r="B90" t="s">
        <v>183</v>
      </c>
      <c r="C90" s="5">
        <v>44262</v>
      </c>
      <c r="D90" t="s">
        <v>184</v>
      </c>
      <c r="E90" s="18">
        <v>0</v>
      </c>
      <c r="F90" s="18">
        <v>0.60531469999999998</v>
      </c>
      <c r="G90" s="18">
        <v>0</v>
      </c>
    </row>
    <row r="91" spans="1:7" x14ac:dyDescent="0.2">
      <c r="A91" s="113">
        <v>2900</v>
      </c>
      <c r="B91" t="s">
        <v>183</v>
      </c>
      <c r="C91" s="5">
        <v>44270</v>
      </c>
      <c r="D91" t="s">
        <v>184</v>
      </c>
      <c r="E91" s="18">
        <v>0</v>
      </c>
      <c r="F91" s="18">
        <v>0.60531469999999998</v>
      </c>
      <c r="G91" s="18">
        <v>0</v>
      </c>
    </row>
    <row r="92" spans="1:7" x14ac:dyDescent="0.2">
      <c r="A92" s="113">
        <v>2900</v>
      </c>
      <c r="B92" t="s">
        <v>183</v>
      </c>
      <c r="C92" s="5">
        <v>44292</v>
      </c>
      <c r="D92" t="s">
        <v>184</v>
      </c>
      <c r="E92" s="18">
        <v>0</v>
      </c>
      <c r="F92" s="18">
        <v>0.60531469999999998</v>
      </c>
      <c r="G92" s="18">
        <v>0</v>
      </c>
    </row>
    <row r="93" spans="1:7" x14ac:dyDescent="0.2">
      <c r="A93" s="113">
        <v>2900</v>
      </c>
      <c r="B93" t="s">
        <v>183</v>
      </c>
      <c r="C93" s="5">
        <v>44315</v>
      </c>
      <c r="D93" t="s">
        <v>184</v>
      </c>
      <c r="E93" s="18">
        <v>0</v>
      </c>
      <c r="F93" s="18">
        <v>0.60531469999999998</v>
      </c>
      <c r="G93" s="18">
        <v>0</v>
      </c>
    </row>
    <row r="94" spans="1:7" x14ac:dyDescent="0.2">
      <c r="A94" s="113">
        <v>7.5490000000000004</v>
      </c>
      <c r="B94" t="s">
        <v>185</v>
      </c>
      <c r="C94" s="5">
        <v>44526</v>
      </c>
      <c r="D94" t="s">
        <v>141</v>
      </c>
      <c r="E94" s="18">
        <v>0</v>
      </c>
      <c r="F94" s="18">
        <v>0.87770751999999996</v>
      </c>
      <c r="G94" s="18">
        <v>0</v>
      </c>
    </row>
    <row r="95" spans="1:7" x14ac:dyDescent="0.2">
      <c r="A95" s="113">
        <v>200</v>
      </c>
      <c r="B95" t="s">
        <v>186</v>
      </c>
      <c r="C95" s="5">
        <v>44061</v>
      </c>
      <c r="D95" t="s">
        <v>187</v>
      </c>
      <c r="E95" s="18">
        <v>0</v>
      </c>
      <c r="F95" s="18">
        <v>1.15205593</v>
      </c>
      <c r="G95" s="18">
        <v>0</v>
      </c>
    </row>
    <row r="96" spans="1:7" x14ac:dyDescent="0.2">
      <c r="A96" s="113">
        <v>146.08149521000001</v>
      </c>
      <c r="B96" t="s">
        <v>188</v>
      </c>
      <c r="C96" s="5">
        <v>44214</v>
      </c>
      <c r="D96" t="s">
        <v>152</v>
      </c>
      <c r="E96" s="18">
        <v>0</v>
      </c>
      <c r="F96" s="18">
        <v>0.87707239000000004</v>
      </c>
      <c r="G96" s="18">
        <v>0</v>
      </c>
    </row>
    <row r="97" spans="1:7" x14ac:dyDescent="0.2">
      <c r="A97" s="113">
        <v>853.91850479000004</v>
      </c>
      <c r="B97" t="s">
        <v>188</v>
      </c>
      <c r="C97" s="5">
        <v>44458</v>
      </c>
      <c r="D97" t="s">
        <v>189</v>
      </c>
      <c r="E97" s="18">
        <v>0</v>
      </c>
      <c r="F97" s="18">
        <v>0.87707239000000004</v>
      </c>
      <c r="G97" s="18">
        <v>0</v>
      </c>
    </row>
    <row r="98" spans="1:7" x14ac:dyDescent="0.2">
      <c r="A98" s="113">
        <v>1500</v>
      </c>
      <c r="B98" t="s">
        <v>188</v>
      </c>
      <c r="C98" s="5">
        <v>44512</v>
      </c>
      <c r="D98" t="s">
        <v>184</v>
      </c>
      <c r="E98" s="18">
        <v>0</v>
      </c>
      <c r="F98" s="18">
        <v>0.87707239000000004</v>
      </c>
      <c r="G98" s="18">
        <v>0</v>
      </c>
    </row>
    <row r="99" spans="1:7" x14ac:dyDescent="0.2">
      <c r="A99" s="113">
        <v>697.3503518</v>
      </c>
      <c r="B99" t="s">
        <v>190</v>
      </c>
      <c r="C99" s="5">
        <v>44252</v>
      </c>
      <c r="D99" t="s">
        <v>166</v>
      </c>
      <c r="E99" s="18">
        <v>0</v>
      </c>
      <c r="F99" s="18">
        <v>0</v>
      </c>
      <c r="G99" s="18">
        <v>0</v>
      </c>
    </row>
    <row r="100" spans="1:7" x14ac:dyDescent="0.2">
      <c r="A100" s="113">
        <v>1508.97</v>
      </c>
      <c r="B100" t="s">
        <v>191</v>
      </c>
      <c r="C100" s="5">
        <v>44472</v>
      </c>
      <c r="D100" t="s">
        <v>122</v>
      </c>
      <c r="E100" s="18">
        <v>0</v>
      </c>
      <c r="F100" s="18">
        <v>3.61128E-2</v>
      </c>
      <c r="G100" s="18">
        <v>0</v>
      </c>
    </row>
    <row r="101" spans="1:7" x14ac:dyDescent="0.2">
      <c r="A101" s="113">
        <v>1</v>
      </c>
      <c r="B101" t="s">
        <v>192</v>
      </c>
      <c r="C101" s="5">
        <v>44531</v>
      </c>
      <c r="D101" t="s">
        <v>139</v>
      </c>
      <c r="E101" s="18">
        <v>0</v>
      </c>
      <c r="F101" s="18">
        <v>0</v>
      </c>
      <c r="G101" s="18">
        <v>0</v>
      </c>
    </row>
    <row r="102" spans="1:7" x14ac:dyDescent="0.2">
      <c r="A102" s="113">
        <v>3679.9504737900002</v>
      </c>
      <c r="B102" t="s">
        <v>193</v>
      </c>
      <c r="C102" s="5">
        <v>44247</v>
      </c>
      <c r="D102" t="s">
        <v>152</v>
      </c>
      <c r="E102" s="18">
        <v>0</v>
      </c>
      <c r="F102" s="18">
        <v>2.0071795799999999</v>
      </c>
      <c r="G102" s="18">
        <v>0</v>
      </c>
    </row>
    <row r="103" spans="1:7" x14ac:dyDescent="0.2">
      <c r="A103" s="113">
        <v>169491</v>
      </c>
      <c r="B103" t="s">
        <v>194</v>
      </c>
      <c r="C103" s="5">
        <v>44300</v>
      </c>
      <c r="D103" t="s">
        <v>127</v>
      </c>
      <c r="E103" s="18">
        <v>0</v>
      </c>
      <c r="F103" s="18">
        <v>0</v>
      </c>
      <c r="G103" s="18">
        <v>0</v>
      </c>
    </row>
    <row r="104" spans="1:7" x14ac:dyDescent="0.2">
      <c r="A104" s="113">
        <v>62500</v>
      </c>
      <c r="B104" t="s">
        <v>195</v>
      </c>
      <c r="C104" s="5">
        <v>44315</v>
      </c>
      <c r="D104" t="s">
        <v>122</v>
      </c>
      <c r="E104" s="18">
        <v>0</v>
      </c>
      <c r="F104" s="18">
        <v>6.1412080000000001E-2</v>
      </c>
      <c r="G104" s="18">
        <v>0</v>
      </c>
    </row>
    <row r="105" spans="1:7" x14ac:dyDescent="0.2">
      <c r="A105" s="113">
        <v>4.1632700000000002E-2</v>
      </c>
      <c r="B105" t="s">
        <v>196</v>
      </c>
      <c r="C105" s="5">
        <v>44049</v>
      </c>
      <c r="D105" t="s">
        <v>152</v>
      </c>
      <c r="E105" s="18">
        <v>0</v>
      </c>
      <c r="F105" s="18">
        <v>32.663214109999998</v>
      </c>
      <c r="G105" s="18">
        <v>0</v>
      </c>
    </row>
    <row r="106" spans="1:7" x14ac:dyDescent="0.2">
      <c r="A106" s="113">
        <v>3.8399370000000002E-2</v>
      </c>
      <c r="B106" t="s">
        <v>196</v>
      </c>
      <c r="C106" s="5">
        <v>44050</v>
      </c>
      <c r="D106" t="s">
        <v>152</v>
      </c>
      <c r="E106" s="18">
        <v>0</v>
      </c>
      <c r="F106" s="18">
        <v>32.663214109999998</v>
      </c>
      <c r="G106" s="18">
        <v>0</v>
      </c>
    </row>
    <row r="107" spans="1:7" x14ac:dyDescent="0.2">
      <c r="A107" s="113">
        <v>4.3357970000000003E-2</v>
      </c>
      <c r="B107" t="s">
        <v>196</v>
      </c>
      <c r="C107" s="5">
        <v>44051</v>
      </c>
      <c r="D107" t="s">
        <v>152</v>
      </c>
      <c r="E107" s="18">
        <v>0</v>
      </c>
      <c r="F107" s="18">
        <v>32.663214109999998</v>
      </c>
      <c r="G107" s="18">
        <v>0</v>
      </c>
    </row>
    <row r="108" spans="1:7" x14ac:dyDescent="0.2">
      <c r="A108" s="113">
        <v>1.4244349999999999E-2</v>
      </c>
      <c r="B108" t="s">
        <v>196</v>
      </c>
      <c r="C108" s="5">
        <v>44055</v>
      </c>
      <c r="D108" t="s">
        <v>152</v>
      </c>
      <c r="E108" s="18">
        <v>0</v>
      </c>
      <c r="F108" s="18">
        <v>32.663214109999998</v>
      </c>
      <c r="G108" s="18">
        <v>0</v>
      </c>
    </row>
    <row r="109" spans="1:7" x14ac:dyDescent="0.2">
      <c r="A109" s="113">
        <v>1.410227E-2</v>
      </c>
      <c r="B109" t="s">
        <v>196</v>
      </c>
      <c r="C109" s="5">
        <v>44056</v>
      </c>
      <c r="D109" t="s">
        <v>152</v>
      </c>
      <c r="E109" s="18">
        <v>0</v>
      </c>
      <c r="F109" s="18">
        <v>32.663214109999998</v>
      </c>
      <c r="G109" s="18">
        <v>0</v>
      </c>
    </row>
    <row r="110" spans="1:7" x14ac:dyDescent="0.2">
      <c r="A110" s="113">
        <v>2.626933E-2</v>
      </c>
      <c r="B110" t="s">
        <v>196</v>
      </c>
      <c r="C110" s="5">
        <v>44057</v>
      </c>
      <c r="D110" t="s">
        <v>152</v>
      </c>
      <c r="E110" s="18">
        <v>0</v>
      </c>
      <c r="F110" s="18">
        <v>32.663214109999998</v>
      </c>
      <c r="G110" s="18">
        <v>0</v>
      </c>
    </row>
    <row r="111" spans="1:7" x14ac:dyDescent="0.2">
      <c r="A111" s="113">
        <v>3.5130219999999997E-2</v>
      </c>
      <c r="B111" t="s">
        <v>196</v>
      </c>
      <c r="C111" s="5">
        <v>44058</v>
      </c>
      <c r="D111" t="s">
        <v>152</v>
      </c>
      <c r="E111" s="18">
        <v>0</v>
      </c>
      <c r="F111" s="18">
        <v>32.663214109999998</v>
      </c>
      <c r="G111" s="18">
        <v>0</v>
      </c>
    </row>
    <row r="112" spans="1:7" x14ac:dyDescent="0.2">
      <c r="A112" s="113">
        <v>2.9923229999999999E-2</v>
      </c>
      <c r="B112" t="s">
        <v>196</v>
      </c>
      <c r="C112" s="5">
        <v>44059</v>
      </c>
      <c r="D112" t="s">
        <v>152</v>
      </c>
      <c r="E112" s="18">
        <v>0</v>
      </c>
      <c r="F112" s="18">
        <v>32.663214109999998</v>
      </c>
      <c r="G112" s="18">
        <v>0</v>
      </c>
    </row>
    <row r="113" spans="1:7" x14ac:dyDescent="0.2">
      <c r="A113" s="113">
        <v>6.5916400000000002E-3</v>
      </c>
      <c r="B113" t="s">
        <v>196</v>
      </c>
      <c r="C113" s="5">
        <v>44060</v>
      </c>
      <c r="D113" t="s">
        <v>152</v>
      </c>
      <c r="E113" s="18">
        <v>0</v>
      </c>
      <c r="F113" s="18">
        <v>32.663214109999998</v>
      </c>
      <c r="G113" s="18">
        <v>0</v>
      </c>
    </row>
    <row r="114" spans="1:7" x14ac:dyDescent="0.2">
      <c r="A114" s="113">
        <v>5.23399E-3</v>
      </c>
      <c r="B114" t="s">
        <v>196</v>
      </c>
      <c r="C114" s="5">
        <v>44067</v>
      </c>
      <c r="D114" t="s">
        <v>152</v>
      </c>
      <c r="E114" s="18">
        <v>0</v>
      </c>
      <c r="F114" s="18">
        <v>32.663214109999998</v>
      </c>
      <c r="G114" s="18">
        <v>0</v>
      </c>
    </row>
    <row r="115" spans="1:7" x14ac:dyDescent="0.2">
      <c r="A115" s="113">
        <v>7.8593940000000001E-2</v>
      </c>
      <c r="B115" t="s">
        <v>196</v>
      </c>
      <c r="C115" s="5">
        <v>44099</v>
      </c>
      <c r="D115" t="s">
        <v>152</v>
      </c>
      <c r="E115" s="18">
        <v>0</v>
      </c>
      <c r="F115" s="18">
        <v>32.663214109999998</v>
      </c>
      <c r="G115" s="18">
        <v>0</v>
      </c>
    </row>
    <row r="116" spans="1:7" x14ac:dyDescent="0.2">
      <c r="A116" s="113">
        <v>4400</v>
      </c>
      <c r="B116" t="s">
        <v>197</v>
      </c>
      <c r="C116" s="5">
        <v>44197</v>
      </c>
      <c r="D116" t="s">
        <v>152</v>
      </c>
      <c r="E116" s="18">
        <v>0</v>
      </c>
      <c r="F116" s="18">
        <v>0</v>
      </c>
      <c r="G116" s="18">
        <v>0</v>
      </c>
    </row>
    <row r="117" spans="1:7" x14ac:dyDescent="0.2">
      <c r="A117" s="113">
        <v>0.26869999999999999</v>
      </c>
      <c r="B117" t="s">
        <v>198</v>
      </c>
      <c r="C117" s="5">
        <v>44233</v>
      </c>
      <c r="D117" t="s">
        <v>152</v>
      </c>
      <c r="E117" s="18">
        <v>0</v>
      </c>
      <c r="F117" s="18">
        <v>0.22519272000000001</v>
      </c>
      <c r="G117" s="18">
        <v>0</v>
      </c>
    </row>
    <row r="118" spans="1:7" x14ac:dyDescent="0.2">
      <c r="A118" s="113">
        <v>1.35</v>
      </c>
      <c r="B118" t="s">
        <v>199</v>
      </c>
      <c r="C118" s="5">
        <v>44349</v>
      </c>
      <c r="D118" t="s">
        <v>150</v>
      </c>
      <c r="E118" s="18">
        <v>0</v>
      </c>
      <c r="F118" s="18">
        <v>56.105053290000001</v>
      </c>
      <c r="G118" s="18">
        <v>0</v>
      </c>
    </row>
    <row r="119" spans="1:7" x14ac:dyDescent="0.2">
      <c r="A119" s="113">
        <v>2222.2222219999999</v>
      </c>
      <c r="B119" t="s">
        <v>200</v>
      </c>
      <c r="C119" s="5">
        <v>44393</v>
      </c>
      <c r="D119" t="s">
        <v>129</v>
      </c>
      <c r="E119" s="18">
        <v>0</v>
      </c>
      <c r="F119" s="18">
        <v>6.4575320000000005E-2</v>
      </c>
      <c r="G119" s="18">
        <v>0</v>
      </c>
    </row>
    <row r="120" spans="1:7" x14ac:dyDescent="0.2">
      <c r="A120" s="113">
        <v>1</v>
      </c>
      <c r="B120" t="s">
        <v>201</v>
      </c>
      <c r="C120" s="5">
        <v>44552</v>
      </c>
      <c r="D120" t="s">
        <v>122</v>
      </c>
      <c r="E120" s="18">
        <v>0</v>
      </c>
      <c r="F120" s="18">
        <v>1.2300000000000001E-6</v>
      </c>
      <c r="G120" s="18">
        <v>0</v>
      </c>
    </row>
    <row r="121" spans="1:7" x14ac:dyDescent="0.2">
      <c r="A121" s="113">
        <v>11.4519003</v>
      </c>
      <c r="B121" t="s">
        <v>202</v>
      </c>
      <c r="C121" s="5">
        <v>44048</v>
      </c>
      <c r="D121" t="s">
        <v>203</v>
      </c>
      <c r="E121" s="18">
        <v>0</v>
      </c>
      <c r="F121" s="18">
        <v>4.3313340900000004</v>
      </c>
      <c r="G121" s="18">
        <v>0</v>
      </c>
    </row>
    <row r="122" spans="1:7" x14ac:dyDescent="0.2">
      <c r="A122" s="113">
        <v>326</v>
      </c>
      <c r="B122" t="s">
        <v>204</v>
      </c>
      <c r="C122" s="5">
        <v>44232</v>
      </c>
      <c r="D122" t="s">
        <v>150</v>
      </c>
      <c r="E122" s="18">
        <v>0</v>
      </c>
      <c r="F122" s="18">
        <v>2.955588E-2</v>
      </c>
      <c r="G122" s="18">
        <v>0</v>
      </c>
    </row>
    <row r="123" spans="1:7" x14ac:dyDescent="0.2">
      <c r="A123" s="113">
        <v>19000</v>
      </c>
      <c r="B123" t="s">
        <v>205</v>
      </c>
      <c r="C123" s="5">
        <v>44300</v>
      </c>
      <c r="D123" t="s">
        <v>127</v>
      </c>
      <c r="E123" s="18">
        <v>0</v>
      </c>
      <c r="F123" s="18">
        <v>0.55969780999999996</v>
      </c>
      <c r="G123" s="18">
        <v>0</v>
      </c>
    </row>
    <row r="124" spans="1:7" x14ac:dyDescent="0.2">
      <c r="A124" s="113">
        <v>74675.100000000006</v>
      </c>
      <c r="B124" t="s">
        <v>206</v>
      </c>
      <c r="C124" s="5">
        <v>44326</v>
      </c>
      <c r="D124" t="s">
        <v>122</v>
      </c>
      <c r="E124" s="18">
        <v>0</v>
      </c>
      <c r="F124" s="18">
        <v>0.42173252</v>
      </c>
      <c r="G124" s="18">
        <v>0</v>
      </c>
    </row>
    <row r="125" spans="1:7" x14ac:dyDescent="0.2">
      <c r="A125" s="113">
        <v>357143</v>
      </c>
      <c r="B125" t="s">
        <v>206</v>
      </c>
      <c r="C125" s="5">
        <v>44432</v>
      </c>
      <c r="D125" t="s">
        <v>122</v>
      </c>
      <c r="E125" s="18">
        <v>0</v>
      </c>
      <c r="F125" s="18">
        <v>0.42173252</v>
      </c>
      <c r="G125" s="18">
        <v>0</v>
      </c>
    </row>
    <row r="126" spans="1:7" x14ac:dyDescent="0.2">
      <c r="A126" s="113">
        <v>86.721367950000001</v>
      </c>
      <c r="B126" t="s">
        <v>207</v>
      </c>
      <c r="C126" s="5">
        <v>44527</v>
      </c>
      <c r="D126" t="s">
        <v>150</v>
      </c>
      <c r="E126" s="18">
        <v>0</v>
      </c>
      <c r="F126" s="18">
        <v>1.8494487399999999</v>
      </c>
      <c r="G126" s="18">
        <v>0</v>
      </c>
    </row>
    <row r="127" spans="1:7" x14ac:dyDescent="0.2">
      <c r="A127" s="113">
        <v>2.5334522000000002</v>
      </c>
      <c r="B127" t="s">
        <v>207</v>
      </c>
      <c r="C127" s="5">
        <v>44528</v>
      </c>
      <c r="D127" t="s">
        <v>150</v>
      </c>
      <c r="E127" s="18">
        <v>0</v>
      </c>
      <c r="F127" s="18">
        <v>1.8494487399999999</v>
      </c>
      <c r="G127" s="18">
        <v>0</v>
      </c>
    </row>
    <row r="128" spans="1:7" x14ac:dyDescent="0.2">
      <c r="A128" s="113">
        <v>1959.59222514</v>
      </c>
      <c r="B128" t="s">
        <v>208</v>
      </c>
      <c r="C128" s="5">
        <v>44535</v>
      </c>
      <c r="D128" t="s">
        <v>139</v>
      </c>
      <c r="E128" s="18">
        <v>0</v>
      </c>
      <c r="F128" s="18">
        <v>3.45E-6</v>
      </c>
      <c r="G128" s="18">
        <v>0</v>
      </c>
    </row>
    <row r="129" spans="1:7" x14ac:dyDescent="0.2">
      <c r="A129" s="113">
        <v>360000</v>
      </c>
      <c r="B129" t="s">
        <v>208</v>
      </c>
      <c r="C129" s="5">
        <v>44535</v>
      </c>
      <c r="D129" t="s">
        <v>152</v>
      </c>
      <c r="E129" s="18">
        <v>0</v>
      </c>
      <c r="F129" s="18">
        <v>3.45E-6</v>
      </c>
      <c r="G129" s="18">
        <v>0</v>
      </c>
    </row>
    <row r="130" spans="1:7" x14ac:dyDescent="0.2">
      <c r="A130" s="113">
        <v>28902.725910000001</v>
      </c>
      <c r="B130" t="s">
        <v>208</v>
      </c>
      <c r="C130" s="5">
        <v>44536</v>
      </c>
      <c r="D130" t="s">
        <v>139</v>
      </c>
      <c r="E130" s="18">
        <v>0</v>
      </c>
      <c r="F130" s="18">
        <v>3.45E-6</v>
      </c>
      <c r="G130" s="18">
        <v>0</v>
      </c>
    </row>
    <row r="131" spans="1:7" x14ac:dyDescent="0.2">
      <c r="A131" s="113">
        <v>79016.716060000006</v>
      </c>
      <c r="B131" t="s">
        <v>208</v>
      </c>
      <c r="C131" s="5">
        <v>44537</v>
      </c>
      <c r="D131" t="s">
        <v>139</v>
      </c>
      <c r="E131" s="18">
        <v>0</v>
      </c>
      <c r="F131" s="18">
        <v>3.45E-6</v>
      </c>
      <c r="G131" s="18">
        <v>0</v>
      </c>
    </row>
    <row r="132" spans="1:7" x14ac:dyDescent="0.2">
      <c r="A132" s="113">
        <v>104976.2859</v>
      </c>
      <c r="B132" t="s">
        <v>208</v>
      </c>
      <c r="C132" s="5">
        <v>44540</v>
      </c>
      <c r="D132" t="s">
        <v>139</v>
      </c>
      <c r="E132" s="18">
        <v>0</v>
      </c>
      <c r="F132" s="18">
        <v>3.45E-6</v>
      </c>
      <c r="G132" s="18">
        <v>0</v>
      </c>
    </row>
    <row r="133" spans="1:7" x14ac:dyDescent="0.2">
      <c r="A133" s="113">
        <v>90906.093510000006</v>
      </c>
      <c r="B133" t="s">
        <v>208</v>
      </c>
      <c r="C133" s="5">
        <v>44544</v>
      </c>
      <c r="D133" t="s">
        <v>139</v>
      </c>
      <c r="E133" s="18">
        <v>0</v>
      </c>
      <c r="F133" s="18">
        <v>3.45E-6</v>
      </c>
      <c r="G133" s="18">
        <v>0</v>
      </c>
    </row>
    <row r="134" spans="1:7" x14ac:dyDescent="0.2">
      <c r="A134" s="113">
        <v>158334.79999999999</v>
      </c>
      <c r="B134" t="s">
        <v>209</v>
      </c>
      <c r="C134" s="5">
        <v>44110</v>
      </c>
      <c r="D134" t="s">
        <v>124</v>
      </c>
      <c r="E134" s="18">
        <v>0</v>
      </c>
      <c r="F134" s="18">
        <v>0</v>
      </c>
      <c r="G134" s="18">
        <v>0</v>
      </c>
    </row>
    <row r="135" spans="1:7" x14ac:dyDescent="0.2">
      <c r="A135" s="113">
        <v>27777.77</v>
      </c>
      <c r="B135" t="s">
        <v>210</v>
      </c>
      <c r="C135" s="5">
        <v>44286</v>
      </c>
      <c r="D135" t="s">
        <v>122</v>
      </c>
      <c r="E135" s="18">
        <v>0</v>
      </c>
      <c r="F135" s="18">
        <v>3.6340690000000002E-2</v>
      </c>
      <c r="G135" s="18">
        <v>0</v>
      </c>
    </row>
    <row r="136" spans="1:7" x14ac:dyDescent="0.2">
      <c r="A136" s="113">
        <v>0.16</v>
      </c>
      <c r="B136" t="s">
        <v>211</v>
      </c>
      <c r="C136" s="5">
        <v>44233</v>
      </c>
      <c r="D136" t="s">
        <v>150</v>
      </c>
      <c r="E136" s="18">
        <v>0</v>
      </c>
      <c r="F136" s="18">
        <v>1.19312387</v>
      </c>
      <c r="G136" s="18">
        <v>0</v>
      </c>
    </row>
    <row r="137" spans="1:7" x14ac:dyDescent="0.2">
      <c r="A137" s="113">
        <v>2415</v>
      </c>
      <c r="B137" t="s">
        <v>212</v>
      </c>
      <c r="C137" s="5">
        <v>43916</v>
      </c>
      <c r="D137" t="s">
        <v>161</v>
      </c>
      <c r="E137" s="18">
        <v>0</v>
      </c>
      <c r="F137" s="18">
        <v>5.1977357199999998</v>
      </c>
      <c r="G137" s="18">
        <v>0</v>
      </c>
    </row>
    <row r="138" spans="1:7" x14ac:dyDescent="0.2">
      <c r="A138" s="113">
        <v>250000</v>
      </c>
      <c r="B138" t="s">
        <v>213</v>
      </c>
      <c r="C138" s="5">
        <v>44257</v>
      </c>
      <c r="D138" t="s">
        <v>150</v>
      </c>
      <c r="E138" s="18">
        <v>0</v>
      </c>
      <c r="F138" s="18">
        <v>5.5821889999999999E-2</v>
      </c>
      <c r="G138" s="18">
        <v>0</v>
      </c>
    </row>
    <row r="139" spans="1:7" x14ac:dyDescent="0.2">
      <c r="A139" s="113">
        <v>444444</v>
      </c>
      <c r="B139" t="s">
        <v>214</v>
      </c>
      <c r="C139" s="5">
        <v>44484</v>
      </c>
      <c r="D139" t="s">
        <v>147</v>
      </c>
      <c r="E139" s="18">
        <v>0</v>
      </c>
      <c r="F139" s="18">
        <v>0.10959421</v>
      </c>
      <c r="G139" s="18">
        <v>0</v>
      </c>
    </row>
    <row r="140" spans="1:7" x14ac:dyDescent="0.2">
      <c r="A140" s="113">
        <v>2564.1025639999998</v>
      </c>
      <c r="B140" t="s">
        <v>215</v>
      </c>
      <c r="C140" s="5">
        <v>44426</v>
      </c>
      <c r="D140" t="s">
        <v>129</v>
      </c>
      <c r="E140" s="18">
        <v>0</v>
      </c>
      <c r="F140" s="18">
        <v>9.7076949999999995E-2</v>
      </c>
      <c r="G140" s="18">
        <v>0</v>
      </c>
    </row>
    <row r="141" spans="1:7" x14ac:dyDescent="0.2">
      <c r="A141" s="113">
        <v>4.45E-3</v>
      </c>
      <c r="B141" t="s">
        <v>216</v>
      </c>
      <c r="C141" s="5">
        <v>44079</v>
      </c>
      <c r="D141" t="s">
        <v>147</v>
      </c>
      <c r="E141" s="18">
        <v>0</v>
      </c>
      <c r="F141" s="18">
        <v>0</v>
      </c>
      <c r="G141" s="18">
        <v>0</v>
      </c>
    </row>
    <row r="142" spans="1:7" x14ac:dyDescent="0.2">
      <c r="A142" s="113">
        <v>1.9999999999999999E-7</v>
      </c>
      <c r="B142" t="s">
        <v>217</v>
      </c>
      <c r="C142" s="5">
        <v>44090</v>
      </c>
      <c r="D142" t="s">
        <v>147</v>
      </c>
      <c r="E142" s="18">
        <v>0</v>
      </c>
      <c r="F142" s="18">
        <v>8.5886999999999997E-4</v>
      </c>
      <c r="G142" s="18">
        <v>0</v>
      </c>
    </row>
    <row r="143" spans="1:7" x14ac:dyDescent="0.2">
      <c r="A143" s="113">
        <v>50000</v>
      </c>
      <c r="B143" t="s">
        <v>218</v>
      </c>
      <c r="C143" s="5">
        <v>44308</v>
      </c>
      <c r="D143" t="s">
        <v>122</v>
      </c>
      <c r="E143" s="18">
        <v>0</v>
      </c>
      <c r="F143" s="18">
        <v>1.047466E-2</v>
      </c>
      <c r="G143" s="18">
        <v>0</v>
      </c>
    </row>
    <row r="144" spans="1:7" x14ac:dyDescent="0.2">
      <c r="A144" s="113">
        <v>83333.33</v>
      </c>
      <c r="B144" t="s">
        <v>219</v>
      </c>
      <c r="C144" s="5">
        <v>44315</v>
      </c>
      <c r="D144" t="s">
        <v>122</v>
      </c>
      <c r="E144" s="18">
        <v>0</v>
      </c>
      <c r="F144" s="18">
        <v>2.6585959999999999E-2</v>
      </c>
      <c r="G144" s="18">
        <v>0</v>
      </c>
    </row>
    <row r="145" spans="1:7" x14ac:dyDescent="0.2">
      <c r="A145" s="113">
        <v>90090.09</v>
      </c>
      <c r="B145" t="s">
        <v>220</v>
      </c>
      <c r="C145" s="5">
        <v>44307</v>
      </c>
      <c r="D145" t="s">
        <v>129</v>
      </c>
      <c r="E145" s="18">
        <v>0</v>
      </c>
      <c r="F145" s="18">
        <v>1.2111830000000001E-2</v>
      </c>
      <c r="G145" s="18">
        <v>0</v>
      </c>
    </row>
    <row r="146" spans="1:7" x14ac:dyDescent="0.2">
      <c r="A146" s="113">
        <v>5046045467.2840118</v>
      </c>
      <c r="B146" t="s">
        <v>221</v>
      </c>
      <c r="C146" s="5">
        <v>44330</v>
      </c>
      <c r="D146" t="s">
        <v>158</v>
      </c>
      <c r="E146" s="18">
        <v>0</v>
      </c>
      <c r="F146" s="18">
        <v>8.0000000000000002E-8</v>
      </c>
      <c r="G146" s="18">
        <v>0</v>
      </c>
    </row>
    <row r="147" spans="1:7" x14ac:dyDescent="0.2">
      <c r="A147" s="113">
        <v>61324.47</v>
      </c>
      <c r="B147" t="s">
        <v>222</v>
      </c>
      <c r="C147" s="5">
        <v>44459</v>
      </c>
      <c r="D147" t="s">
        <v>223</v>
      </c>
      <c r="E147" s="18">
        <v>0</v>
      </c>
      <c r="F147" s="18">
        <v>0.88024015</v>
      </c>
      <c r="G147" s="18">
        <v>0</v>
      </c>
    </row>
    <row r="148" spans="1:7" x14ac:dyDescent="0.2">
      <c r="A148" s="113">
        <v>1000</v>
      </c>
      <c r="B148" t="s">
        <v>222</v>
      </c>
      <c r="C148" s="5">
        <v>44475</v>
      </c>
      <c r="D148" t="s">
        <v>127</v>
      </c>
      <c r="E148" s="18">
        <v>0</v>
      </c>
      <c r="F148" s="18">
        <v>0.88024015</v>
      </c>
      <c r="G148" s="18">
        <v>0</v>
      </c>
    </row>
    <row r="149" spans="1:7" x14ac:dyDescent="0.2">
      <c r="A149" s="113">
        <v>90000</v>
      </c>
      <c r="B149" t="s">
        <v>222</v>
      </c>
      <c r="C149" s="5">
        <v>44499</v>
      </c>
      <c r="D149" t="s">
        <v>122</v>
      </c>
      <c r="E149" s="18">
        <v>0</v>
      </c>
      <c r="F149" s="18">
        <v>0.88024015</v>
      </c>
      <c r="G149" s="18">
        <v>0</v>
      </c>
    </row>
    <row r="150" spans="1:7" x14ac:dyDescent="0.2">
      <c r="A150" s="113">
        <v>10000</v>
      </c>
      <c r="B150" t="s">
        <v>222</v>
      </c>
      <c r="C150" s="5">
        <v>44519</v>
      </c>
      <c r="D150" t="s">
        <v>122</v>
      </c>
      <c r="E150" s="18">
        <v>0</v>
      </c>
      <c r="F150" s="18">
        <v>0.88024015</v>
      </c>
      <c r="G150" s="18">
        <v>0</v>
      </c>
    </row>
    <row r="151" spans="1:7" x14ac:dyDescent="0.2">
      <c r="A151" s="113">
        <v>665.70818759999997</v>
      </c>
      <c r="B151" t="s">
        <v>224</v>
      </c>
      <c r="C151" s="5">
        <v>44141</v>
      </c>
      <c r="D151" t="s">
        <v>124</v>
      </c>
      <c r="E151" s="18">
        <v>0</v>
      </c>
      <c r="F151" s="18">
        <v>3.0275200000000001E-3</v>
      </c>
      <c r="G151" s="18">
        <v>0</v>
      </c>
    </row>
    <row r="152" spans="1:7" x14ac:dyDescent="0.2">
      <c r="A152" s="113">
        <v>155.82081460000001</v>
      </c>
      <c r="B152" t="s">
        <v>224</v>
      </c>
      <c r="C152" s="5">
        <v>44141</v>
      </c>
      <c r="D152" t="s">
        <v>152</v>
      </c>
      <c r="E152" s="18">
        <v>0</v>
      </c>
      <c r="F152" s="18">
        <v>3.0275200000000001E-3</v>
      </c>
      <c r="G152" s="18">
        <v>0</v>
      </c>
    </row>
    <row r="153" spans="1:7" x14ac:dyDescent="0.2">
      <c r="A153" s="113">
        <v>106.31479989</v>
      </c>
      <c r="B153" t="s">
        <v>225</v>
      </c>
      <c r="C153" s="5">
        <v>44509</v>
      </c>
      <c r="D153" t="s">
        <v>145</v>
      </c>
      <c r="E153" s="18">
        <v>0</v>
      </c>
      <c r="F153" s="18">
        <v>2.22602477</v>
      </c>
      <c r="G153" s="18">
        <v>0</v>
      </c>
    </row>
    <row r="154" spans="1:7" x14ac:dyDescent="0.2">
      <c r="A154" s="113">
        <v>0.29659999999999997</v>
      </c>
      <c r="B154" t="s">
        <v>226</v>
      </c>
      <c r="C154" s="5">
        <v>44470</v>
      </c>
      <c r="D154" t="s">
        <v>227</v>
      </c>
      <c r="E154" s="18">
        <v>0</v>
      </c>
      <c r="F154" s="18">
        <v>3.8314810399999999</v>
      </c>
      <c r="G154" s="18">
        <v>0</v>
      </c>
    </row>
    <row r="155" spans="1:7" x14ac:dyDescent="0.2">
      <c r="A155" s="113">
        <v>1.29E-2</v>
      </c>
      <c r="B155" t="s">
        <v>226</v>
      </c>
      <c r="C155" s="5">
        <v>44477</v>
      </c>
      <c r="D155" t="s">
        <v>227</v>
      </c>
      <c r="E155" s="18">
        <v>0</v>
      </c>
      <c r="F155" s="18">
        <v>3.8314810399999999</v>
      </c>
      <c r="G155" s="18">
        <v>0</v>
      </c>
    </row>
    <row r="156" spans="1:7" x14ac:dyDescent="0.2">
      <c r="A156" s="113">
        <v>1.29E-2</v>
      </c>
      <c r="B156" t="s">
        <v>226</v>
      </c>
      <c r="C156" s="5">
        <v>44484</v>
      </c>
      <c r="D156" t="s">
        <v>227</v>
      </c>
      <c r="E156" s="18">
        <v>0</v>
      </c>
      <c r="F156" s="18">
        <v>3.8314810399999999</v>
      </c>
      <c r="G156" s="18">
        <v>0</v>
      </c>
    </row>
    <row r="157" spans="1:7" x14ac:dyDescent="0.2">
      <c r="A157" s="113">
        <v>1.29E-2</v>
      </c>
      <c r="B157" t="s">
        <v>226</v>
      </c>
      <c r="C157" s="5">
        <v>44491</v>
      </c>
      <c r="D157" t="s">
        <v>227</v>
      </c>
      <c r="E157" s="18">
        <v>0</v>
      </c>
      <c r="F157" s="18">
        <v>3.8314810399999999</v>
      </c>
      <c r="G157" s="18">
        <v>0</v>
      </c>
    </row>
    <row r="158" spans="1:7" x14ac:dyDescent="0.2">
      <c r="A158" s="113">
        <v>1.29E-2</v>
      </c>
      <c r="B158" t="s">
        <v>226</v>
      </c>
      <c r="C158" s="5">
        <v>44498</v>
      </c>
      <c r="D158" t="s">
        <v>227</v>
      </c>
      <c r="E158" s="18">
        <v>0</v>
      </c>
      <c r="F158" s="18">
        <v>3.8314810399999999</v>
      </c>
      <c r="G158" s="18">
        <v>0</v>
      </c>
    </row>
    <row r="159" spans="1:7" x14ac:dyDescent="0.2">
      <c r="A159" s="113">
        <v>1.29E-2</v>
      </c>
      <c r="B159" t="s">
        <v>226</v>
      </c>
      <c r="C159" s="5">
        <v>44505</v>
      </c>
      <c r="D159" t="s">
        <v>227</v>
      </c>
      <c r="E159" s="18">
        <v>0</v>
      </c>
      <c r="F159" s="18">
        <v>3.8314810399999999</v>
      </c>
      <c r="G159" s="18">
        <v>0</v>
      </c>
    </row>
    <row r="160" spans="1:7" x14ac:dyDescent="0.2">
      <c r="A160" s="113">
        <v>1.29E-2</v>
      </c>
      <c r="B160" t="s">
        <v>226</v>
      </c>
      <c r="C160" s="5">
        <v>44512</v>
      </c>
      <c r="D160" t="s">
        <v>227</v>
      </c>
      <c r="E160" s="18">
        <v>0</v>
      </c>
      <c r="F160" s="18">
        <v>3.8314810399999999</v>
      </c>
      <c r="G160" s="18">
        <v>0</v>
      </c>
    </row>
    <row r="161" spans="1:7" x14ac:dyDescent="0.2">
      <c r="A161" s="113">
        <v>1.2999999999999999E-2</v>
      </c>
      <c r="B161" t="s">
        <v>226</v>
      </c>
      <c r="C161" s="5">
        <v>44519</v>
      </c>
      <c r="D161" t="s">
        <v>227</v>
      </c>
      <c r="E161" s="18">
        <v>0</v>
      </c>
      <c r="F161" s="18">
        <v>3.8314810399999999</v>
      </c>
      <c r="G161" s="18">
        <v>0</v>
      </c>
    </row>
    <row r="162" spans="1:7" x14ac:dyDescent="0.2">
      <c r="A162" s="113">
        <v>1.2999999999999999E-2</v>
      </c>
      <c r="B162" t="s">
        <v>226</v>
      </c>
      <c r="C162" s="5">
        <v>44526</v>
      </c>
      <c r="D162" t="s">
        <v>227</v>
      </c>
      <c r="E162" s="18">
        <v>0</v>
      </c>
      <c r="F162" s="18">
        <v>3.8314810399999999</v>
      </c>
      <c r="G162" s="18">
        <v>0</v>
      </c>
    </row>
    <row r="163" spans="1:7" x14ac:dyDescent="0.2">
      <c r="A163" s="113">
        <v>13.853</v>
      </c>
      <c r="B163" t="s">
        <v>226</v>
      </c>
      <c r="C163" s="5">
        <v>44531</v>
      </c>
      <c r="D163" t="s">
        <v>227</v>
      </c>
      <c r="E163" s="18">
        <v>0</v>
      </c>
      <c r="F163" s="18">
        <v>3.8314810399999999</v>
      </c>
      <c r="G163" s="18">
        <v>0</v>
      </c>
    </row>
    <row r="164" spans="1:7" x14ac:dyDescent="0.2">
      <c r="A164" s="113">
        <v>1.2999999999999999E-2</v>
      </c>
      <c r="B164" t="s">
        <v>226</v>
      </c>
      <c r="C164" s="5">
        <v>44533</v>
      </c>
      <c r="D164" t="s">
        <v>227</v>
      </c>
      <c r="E164" s="18">
        <v>0</v>
      </c>
      <c r="F164" s="18">
        <v>3.8314810399999999</v>
      </c>
      <c r="G164" s="18">
        <v>0</v>
      </c>
    </row>
    <row r="165" spans="1:7" x14ac:dyDescent="0.2">
      <c r="A165" s="113">
        <v>1.3599999999999999E-2</v>
      </c>
      <c r="B165" t="s">
        <v>226</v>
      </c>
      <c r="C165" s="5">
        <v>44540</v>
      </c>
      <c r="D165" t="s">
        <v>227</v>
      </c>
      <c r="E165" s="18">
        <v>0</v>
      </c>
      <c r="F165" s="18">
        <v>3.8314810399999999</v>
      </c>
      <c r="G165" s="18">
        <v>0</v>
      </c>
    </row>
    <row r="166" spans="1:7" x14ac:dyDescent="0.2">
      <c r="A166" s="113">
        <v>3.0999999999999999E-3</v>
      </c>
      <c r="B166" t="s">
        <v>226</v>
      </c>
      <c r="C166" s="5">
        <v>44547</v>
      </c>
      <c r="D166" t="s">
        <v>227</v>
      </c>
      <c r="E166" s="18">
        <v>0</v>
      </c>
      <c r="F166" s="18">
        <v>3.8314810399999999</v>
      </c>
      <c r="G166" s="18">
        <v>0</v>
      </c>
    </row>
    <row r="167" spans="1:7" x14ac:dyDescent="0.2">
      <c r="A167" s="113">
        <v>1188.8671628</v>
      </c>
      <c r="B167" t="s">
        <v>228</v>
      </c>
      <c r="C167" s="5">
        <v>44391</v>
      </c>
      <c r="D167" t="s">
        <v>150</v>
      </c>
      <c r="E167" s="18">
        <v>0</v>
      </c>
      <c r="F167" s="18">
        <v>0.87822283999999995</v>
      </c>
      <c r="G167" s="18">
        <v>0</v>
      </c>
    </row>
    <row r="168" spans="1:7" x14ac:dyDescent="0.2">
      <c r="A168" s="113">
        <v>10578.24156158</v>
      </c>
      <c r="B168" t="s">
        <v>228</v>
      </c>
      <c r="C168" s="5">
        <v>44463</v>
      </c>
      <c r="D168" t="s">
        <v>158</v>
      </c>
      <c r="E168" s="18">
        <v>0</v>
      </c>
      <c r="F168" s="18">
        <v>0.87822283999999995</v>
      </c>
      <c r="G168" s="18">
        <v>0</v>
      </c>
    </row>
    <row r="169" spans="1:7" x14ac:dyDescent="0.2">
      <c r="A169" s="113">
        <v>1762</v>
      </c>
      <c r="B169" t="s">
        <v>228</v>
      </c>
      <c r="C169" s="5">
        <v>44484</v>
      </c>
      <c r="D169" t="s">
        <v>150</v>
      </c>
      <c r="E169" s="18">
        <v>0</v>
      </c>
      <c r="F169" s="18">
        <v>0.87822283999999995</v>
      </c>
      <c r="G169" s="18">
        <v>0</v>
      </c>
    </row>
    <row r="170" spans="1:7" x14ac:dyDescent="0.2">
      <c r="A170" s="113">
        <v>2931.8777</v>
      </c>
      <c r="B170" t="s">
        <v>228</v>
      </c>
      <c r="C170" s="5">
        <v>44494</v>
      </c>
      <c r="D170" t="s">
        <v>150</v>
      </c>
      <c r="E170" s="18">
        <v>0</v>
      </c>
      <c r="F170" s="18">
        <v>0.87822283999999995</v>
      </c>
      <c r="G170" s="18">
        <v>0</v>
      </c>
    </row>
    <row r="171" spans="1:7" x14ac:dyDescent="0.2">
      <c r="A171" s="113">
        <v>1065.8829354500001</v>
      </c>
      <c r="B171" t="s">
        <v>228</v>
      </c>
      <c r="C171" s="5">
        <v>44514</v>
      </c>
      <c r="D171" t="s">
        <v>158</v>
      </c>
      <c r="E171" s="18">
        <v>0</v>
      </c>
      <c r="F171" s="18">
        <v>0.87822283999999995</v>
      </c>
      <c r="G171" s="18">
        <v>0</v>
      </c>
    </row>
    <row r="172" spans="1:7" x14ac:dyDescent="0.2">
      <c r="A172" s="113">
        <v>4893.7828112699999</v>
      </c>
      <c r="B172" t="s">
        <v>228</v>
      </c>
      <c r="C172" s="5">
        <v>44531</v>
      </c>
      <c r="D172" t="s">
        <v>158</v>
      </c>
      <c r="E172" s="18">
        <v>0</v>
      </c>
      <c r="F172" s="18">
        <v>0.87822283999999995</v>
      </c>
      <c r="G172" s="18">
        <v>0</v>
      </c>
    </row>
    <row r="173" spans="1:7" x14ac:dyDescent="0.2">
      <c r="A173" s="113">
        <v>9636.1696787199999</v>
      </c>
      <c r="B173" t="s">
        <v>228</v>
      </c>
      <c r="C173" s="5">
        <v>44540</v>
      </c>
      <c r="D173" t="s">
        <v>158</v>
      </c>
      <c r="E173" s="18">
        <v>0</v>
      </c>
      <c r="F173" s="18">
        <v>0.87822283999999995</v>
      </c>
      <c r="G173" s="18">
        <v>0</v>
      </c>
    </row>
    <row r="174" spans="1:7" x14ac:dyDescent="0.2">
      <c r="A174" s="113">
        <v>10477.131356710001</v>
      </c>
      <c r="B174" t="s">
        <v>228</v>
      </c>
      <c r="C174" s="5">
        <v>44552</v>
      </c>
      <c r="D174" t="s">
        <v>158</v>
      </c>
      <c r="E174" s="18">
        <v>0</v>
      </c>
      <c r="F174" s="18">
        <v>0.87822283999999995</v>
      </c>
      <c r="G174" s="18">
        <v>0</v>
      </c>
    </row>
    <row r="175" spans="1:7" x14ac:dyDescent="0.2">
      <c r="A175" s="113">
        <v>50000</v>
      </c>
      <c r="B175" t="s">
        <v>229</v>
      </c>
      <c r="C175" s="5">
        <v>44443</v>
      </c>
      <c r="D175" t="s">
        <v>122</v>
      </c>
      <c r="E175" s="18">
        <v>0</v>
      </c>
      <c r="F175" s="18">
        <v>1.4752824499999999</v>
      </c>
      <c r="G175" s="18">
        <v>0</v>
      </c>
    </row>
    <row r="176" spans="1:7" x14ac:dyDescent="0.2">
      <c r="A176" s="113">
        <v>33333.33</v>
      </c>
      <c r="B176" t="s">
        <v>230</v>
      </c>
      <c r="C176" s="5">
        <v>44305</v>
      </c>
      <c r="D176" t="s">
        <v>122</v>
      </c>
      <c r="E176" s="18">
        <v>0</v>
      </c>
      <c r="F176" s="18">
        <v>7.9011869999999998E-2</v>
      </c>
      <c r="G176" s="18">
        <v>0</v>
      </c>
    </row>
    <row r="177" spans="1:7" x14ac:dyDescent="0.2">
      <c r="A177" s="113">
        <v>89285.7</v>
      </c>
      <c r="B177" t="s">
        <v>231</v>
      </c>
      <c r="C177" s="5">
        <v>44473</v>
      </c>
      <c r="D177" t="s">
        <v>122</v>
      </c>
      <c r="E177" s="18">
        <v>0</v>
      </c>
      <c r="F177" s="18">
        <v>0</v>
      </c>
      <c r="G177" s="18">
        <v>0</v>
      </c>
    </row>
    <row r="178" spans="1:7" x14ac:dyDescent="0.2">
      <c r="A178" s="113">
        <v>20000</v>
      </c>
      <c r="B178" t="s">
        <v>232</v>
      </c>
      <c r="C178" s="5">
        <v>44489</v>
      </c>
      <c r="D178" t="s">
        <v>122</v>
      </c>
      <c r="E178" s="18">
        <v>0</v>
      </c>
      <c r="F178" s="18">
        <v>0.15173717</v>
      </c>
      <c r="G178" s="18">
        <v>0</v>
      </c>
    </row>
    <row r="179" spans="1:7" x14ac:dyDescent="0.2">
      <c r="A179" s="113">
        <v>4063090136.0476999</v>
      </c>
      <c r="B179" t="s">
        <v>233</v>
      </c>
      <c r="C179" s="5">
        <v>44514</v>
      </c>
      <c r="D179" t="s">
        <v>152</v>
      </c>
      <c r="E179" s="18">
        <v>0</v>
      </c>
      <c r="F179" s="18">
        <v>1.4000000000000001E-7</v>
      </c>
      <c r="G179" s="18">
        <v>0</v>
      </c>
    </row>
    <row r="180" spans="1:7" x14ac:dyDescent="0.2">
      <c r="A180" s="113">
        <v>23611.73</v>
      </c>
      <c r="B180" t="s">
        <v>234</v>
      </c>
      <c r="C180" s="5">
        <v>44258</v>
      </c>
      <c r="D180" t="s">
        <v>152</v>
      </c>
      <c r="E180" s="18">
        <v>0</v>
      </c>
      <c r="F180" s="18">
        <v>0.46193318</v>
      </c>
      <c r="G180" s="18">
        <v>0</v>
      </c>
    </row>
    <row r="181" spans="1:7" x14ac:dyDescent="0.2">
      <c r="A181" s="113">
        <v>868159.99</v>
      </c>
      <c r="B181" t="s">
        <v>235</v>
      </c>
      <c r="C181" s="5">
        <v>44474</v>
      </c>
      <c r="D181" t="s">
        <v>145</v>
      </c>
      <c r="E181" s="18">
        <v>0</v>
      </c>
      <c r="F181" s="18">
        <v>4.8488589999999998E-2</v>
      </c>
      <c r="G181" s="18">
        <v>0</v>
      </c>
    </row>
    <row r="182" spans="1:7" x14ac:dyDescent="0.2">
      <c r="A182" s="113">
        <v>620.12650314999996</v>
      </c>
      <c r="B182" t="s">
        <v>236</v>
      </c>
      <c r="C182" s="5">
        <v>44540</v>
      </c>
      <c r="D182" t="s">
        <v>158</v>
      </c>
      <c r="E182" s="18">
        <v>0</v>
      </c>
      <c r="F182" s="18">
        <v>0</v>
      </c>
      <c r="G182" s="18">
        <v>0</v>
      </c>
    </row>
    <row r="183" spans="1:7" x14ac:dyDescent="0.2">
      <c r="A183" s="113">
        <v>24748960.789999999</v>
      </c>
      <c r="B183" t="s">
        <v>237</v>
      </c>
      <c r="C183" s="5">
        <v>44554</v>
      </c>
      <c r="D183" t="s">
        <v>139</v>
      </c>
      <c r="E183" s="18">
        <v>0</v>
      </c>
      <c r="F183" s="18">
        <v>4.8600000000000001E-6</v>
      </c>
      <c r="G183" s="18">
        <v>0</v>
      </c>
    </row>
    <row r="184" spans="1:7" x14ac:dyDescent="0.2">
      <c r="A184" s="113">
        <v>50.1759852</v>
      </c>
      <c r="B184" t="s">
        <v>238</v>
      </c>
      <c r="C184" s="5">
        <v>44549</v>
      </c>
      <c r="D184" t="s">
        <v>141</v>
      </c>
      <c r="E184" s="18">
        <v>0</v>
      </c>
      <c r="F184" s="18">
        <v>1.1460659999999999E-2</v>
      </c>
      <c r="G184" s="18">
        <v>0</v>
      </c>
    </row>
    <row r="185" spans="1:7" x14ac:dyDescent="0.2">
      <c r="A185" s="113">
        <v>485956.96077577001</v>
      </c>
      <c r="B185" t="s">
        <v>239</v>
      </c>
      <c r="C185" s="5">
        <v>44069</v>
      </c>
      <c r="D185" t="s">
        <v>152</v>
      </c>
      <c r="E185" s="18">
        <v>0</v>
      </c>
      <c r="F185" s="18">
        <v>0.50563864999999997</v>
      </c>
      <c r="G185" s="18">
        <v>0</v>
      </c>
    </row>
    <row r="186" spans="1:7" x14ac:dyDescent="0.2">
      <c r="A186" s="113">
        <v>33200</v>
      </c>
      <c r="B186" t="s">
        <v>240</v>
      </c>
      <c r="C186" s="5">
        <v>44242</v>
      </c>
      <c r="D186" t="s">
        <v>127</v>
      </c>
      <c r="E186" s="18">
        <v>0</v>
      </c>
      <c r="F186" s="18">
        <v>0.23040141</v>
      </c>
      <c r="G186" s="18">
        <v>0</v>
      </c>
    </row>
    <row r="187" spans="1:7" x14ac:dyDescent="0.2">
      <c r="A187" s="113">
        <v>6.5730000000000004</v>
      </c>
      <c r="B187" t="s">
        <v>241</v>
      </c>
      <c r="C187" s="5">
        <v>44264</v>
      </c>
      <c r="D187" t="s">
        <v>150</v>
      </c>
      <c r="E187" s="18">
        <v>0</v>
      </c>
      <c r="F187" s="18">
        <v>7.2519662199999999</v>
      </c>
      <c r="G187" s="18">
        <v>0</v>
      </c>
    </row>
    <row r="188" spans="1:7" x14ac:dyDescent="0.2">
      <c r="A188" s="113">
        <v>19150000</v>
      </c>
      <c r="B188" t="s">
        <v>242</v>
      </c>
      <c r="C188" s="5">
        <v>44078</v>
      </c>
      <c r="D188" t="s">
        <v>122</v>
      </c>
      <c r="E188" s="18">
        <v>0</v>
      </c>
      <c r="F188" s="18">
        <v>9.6566800000000008E-3</v>
      </c>
      <c r="G188" s="18">
        <v>0</v>
      </c>
    </row>
    <row r="189" spans="1:7" x14ac:dyDescent="0.2">
      <c r="A189" s="113">
        <v>1</v>
      </c>
      <c r="B189" t="s">
        <v>243</v>
      </c>
      <c r="C189" s="5">
        <v>44530</v>
      </c>
      <c r="D189" t="s">
        <v>139</v>
      </c>
      <c r="E189" s="18">
        <v>0</v>
      </c>
      <c r="F189" s="18">
        <v>0</v>
      </c>
      <c r="G189" s="18">
        <v>0</v>
      </c>
    </row>
    <row r="190" spans="1:7" x14ac:dyDescent="0.2">
      <c r="A190" s="113">
        <v>1116791.6669999999</v>
      </c>
      <c r="B190" t="s">
        <v>244</v>
      </c>
      <c r="C190" s="5">
        <v>44250</v>
      </c>
      <c r="D190" t="s">
        <v>127</v>
      </c>
      <c r="E190" s="18">
        <v>0</v>
      </c>
      <c r="F190" s="18">
        <v>3.2563999999999998E-4</v>
      </c>
      <c r="G190" s="18">
        <v>0</v>
      </c>
    </row>
    <row r="191" spans="1:7" x14ac:dyDescent="0.2">
      <c r="A191" s="113">
        <v>500000</v>
      </c>
      <c r="B191" t="s">
        <v>245</v>
      </c>
      <c r="C191" s="5">
        <v>44524</v>
      </c>
      <c r="D191" t="s">
        <v>122</v>
      </c>
      <c r="E191" s="18">
        <v>0</v>
      </c>
      <c r="F191" s="18">
        <v>6.5640580000000004E-2</v>
      </c>
      <c r="G191" s="18">
        <v>0</v>
      </c>
    </row>
    <row r="192" spans="1:7" x14ac:dyDescent="0.2">
      <c r="A192" s="113">
        <v>714.77781000000004</v>
      </c>
      <c r="B192" t="s">
        <v>246</v>
      </c>
      <c r="C192" s="5">
        <v>44065</v>
      </c>
      <c r="D192" t="s">
        <v>124</v>
      </c>
      <c r="E192" s="18">
        <v>0</v>
      </c>
      <c r="F192" s="18">
        <v>2.9028060000000001E-2</v>
      </c>
      <c r="G192" s="18">
        <v>0</v>
      </c>
    </row>
    <row r="193" spans="1:7" x14ac:dyDescent="0.2">
      <c r="A193" s="113">
        <v>569.57000000000005</v>
      </c>
      <c r="B193" t="s">
        <v>246</v>
      </c>
      <c r="C193" s="5">
        <v>44178</v>
      </c>
      <c r="D193" t="s">
        <v>124</v>
      </c>
      <c r="E193" s="18">
        <v>0</v>
      </c>
      <c r="F193" s="18">
        <v>2.9028060000000001E-2</v>
      </c>
      <c r="G193" s="18">
        <v>0</v>
      </c>
    </row>
    <row r="194" spans="1:7" x14ac:dyDescent="0.2">
      <c r="A194" s="113">
        <v>1E-8</v>
      </c>
      <c r="B194" t="s">
        <v>247</v>
      </c>
      <c r="C194" s="5">
        <v>44250</v>
      </c>
      <c r="D194" t="s">
        <v>152</v>
      </c>
      <c r="E194" s="18">
        <v>0</v>
      </c>
      <c r="F194" s="18">
        <v>23.694253490000001</v>
      </c>
      <c r="G194" s="18">
        <v>0</v>
      </c>
    </row>
    <row r="195" spans="1:7" x14ac:dyDescent="0.2">
      <c r="A195" s="113">
        <v>7624.2</v>
      </c>
      <c r="B195" t="s">
        <v>248</v>
      </c>
      <c r="C195" s="5">
        <v>44294</v>
      </c>
      <c r="D195" t="s">
        <v>122</v>
      </c>
      <c r="E195" s="18">
        <v>0</v>
      </c>
      <c r="F195" s="18">
        <v>0.10814418000000001</v>
      </c>
      <c r="G195" s="18">
        <v>0</v>
      </c>
    </row>
    <row r="196" spans="1:7" x14ac:dyDescent="0.2">
      <c r="A196" s="113">
        <v>41666.666666669997</v>
      </c>
      <c r="B196" t="s">
        <v>249</v>
      </c>
      <c r="C196" s="5">
        <v>44487</v>
      </c>
      <c r="D196" t="s">
        <v>152</v>
      </c>
      <c r="E196" s="18">
        <v>0</v>
      </c>
      <c r="F196" s="18">
        <v>0.93193112</v>
      </c>
      <c r="G196" s="18">
        <v>0</v>
      </c>
    </row>
    <row r="197" spans="1:7" x14ac:dyDescent="0.2">
      <c r="A197" s="113">
        <v>44270.7333</v>
      </c>
      <c r="B197" t="s">
        <v>250</v>
      </c>
      <c r="C197" s="5">
        <v>44258</v>
      </c>
      <c r="D197" t="s">
        <v>152</v>
      </c>
      <c r="E197" s="18">
        <v>0</v>
      </c>
      <c r="F197" s="18">
        <v>1.0060273099999999</v>
      </c>
      <c r="G197" s="18">
        <v>0</v>
      </c>
    </row>
    <row r="198" spans="1:7" x14ac:dyDescent="0.2">
      <c r="A198" s="113">
        <v>4600</v>
      </c>
      <c r="B198" t="s">
        <v>250</v>
      </c>
      <c r="C198" s="5">
        <v>44459</v>
      </c>
      <c r="D198" t="s">
        <v>152</v>
      </c>
      <c r="E198" s="18">
        <v>0</v>
      </c>
      <c r="F198" s="18">
        <v>1.0060273099999999</v>
      </c>
      <c r="G198" s="18">
        <v>0</v>
      </c>
    </row>
    <row r="199" spans="1:7" x14ac:dyDescent="0.2">
      <c r="A199" s="113">
        <v>2583500.6</v>
      </c>
      <c r="B199" t="s">
        <v>251</v>
      </c>
      <c r="C199" s="5">
        <v>44074</v>
      </c>
      <c r="D199" t="s">
        <v>124</v>
      </c>
      <c r="E199" s="18">
        <v>0</v>
      </c>
      <c r="F199" s="18">
        <v>1.6122839999999999E-2</v>
      </c>
      <c r="G199" s="18">
        <v>0</v>
      </c>
    </row>
    <row r="200" spans="1:7" x14ac:dyDescent="0.2">
      <c r="A200" s="113">
        <v>733017</v>
      </c>
      <c r="B200" t="s">
        <v>252</v>
      </c>
      <c r="C200" s="5">
        <v>44290</v>
      </c>
      <c r="D200" t="s">
        <v>122</v>
      </c>
      <c r="E200" s="18">
        <v>0</v>
      </c>
      <c r="F200" s="18">
        <v>2.0193039999999999E-2</v>
      </c>
      <c r="G200" s="18">
        <v>0</v>
      </c>
    </row>
    <row r="201" spans="1:7" x14ac:dyDescent="0.2">
      <c r="A201" s="113">
        <v>4.26728E-3</v>
      </c>
      <c r="B201" t="s">
        <v>253</v>
      </c>
      <c r="C201" s="5">
        <v>44526</v>
      </c>
      <c r="D201" t="s">
        <v>141</v>
      </c>
      <c r="E201" s="18">
        <v>0</v>
      </c>
      <c r="F201" s="18">
        <v>30.346038400000001</v>
      </c>
      <c r="G201" s="18">
        <v>0</v>
      </c>
    </row>
    <row r="202" spans="1:7" x14ac:dyDescent="0.2">
      <c r="A202" s="113">
        <v>136440.0406636</v>
      </c>
      <c r="B202" t="s">
        <v>254</v>
      </c>
      <c r="C202" s="5">
        <v>44513</v>
      </c>
      <c r="D202" t="s">
        <v>152</v>
      </c>
      <c r="E202" s="18">
        <v>0</v>
      </c>
      <c r="F202" s="18">
        <v>1.6688E-4</v>
      </c>
      <c r="G202" s="18">
        <v>0</v>
      </c>
    </row>
    <row r="203" spans="1:7" x14ac:dyDescent="0.2">
      <c r="A203" s="113">
        <v>27270.172409949999</v>
      </c>
      <c r="B203" t="s">
        <v>255</v>
      </c>
      <c r="C203" s="5">
        <v>44484</v>
      </c>
      <c r="D203" t="s">
        <v>147</v>
      </c>
      <c r="E203" s="18">
        <v>0</v>
      </c>
      <c r="F203" s="18">
        <v>0.87833055000000004</v>
      </c>
      <c r="G203" s="18">
        <v>0</v>
      </c>
    </row>
    <row r="204" spans="1:7" x14ac:dyDescent="0.2">
      <c r="A204" s="113">
        <v>50000</v>
      </c>
      <c r="B204" t="s">
        <v>255</v>
      </c>
      <c r="C204" s="5">
        <v>44497</v>
      </c>
      <c r="D204" t="s">
        <v>256</v>
      </c>
      <c r="E204" s="18">
        <v>0</v>
      </c>
      <c r="F204" s="18">
        <v>0.87833055000000004</v>
      </c>
      <c r="G204" s="18">
        <v>0</v>
      </c>
    </row>
    <row r="205" spans="1:7" x14ac:dyDescent="0.2">
      <c r="A205" s="113">
        <v>7545.0805209999999</v>
      </c>
      <c r="B205" t="s">
        <v>255</v>
      </c>
      <c r="C205" s="5">
        <v>44501</v>
      </c>
      <c r="D205" t="s">
        <v>166</v>
      </c>
      <c r="E205" s="18">
        <v>0</v>
      </c>
      <c r="F205" s="18">
        <v>0.87833055000000004</v>
      </c>
      <c r="G205" s="18">
        <v>0</v>
      </c>
    </row>
    <row r="206" spans="1:7" x14ac:dyDescent="0.2">
      <c r="A206" s="113">
        <v>18147.664922</v>
      </c>
      <c r="B206" t="s">
        <v>255</v>
      </c>
      <c r="C206" s="5">
        <v>44501</v>
      </c>
      <c r="D206" t="s">
        <v>147</v>
      </c>
      <c r="E206" s="18">
        <v>0</v>
      </c>
      <c r="F206" s="18">
        <v>0.87833055000000004</v>
      </c>
      <c r="G206" s="18">
        <v>0</v>
      </c>
    </row>
    <row r="207" spans="1:7" x14ac:dyDescent="0.2">
      <c r="A207" s="113">
        <v>65421.543942999997</v>
      </c>
      <c r="B207" t="s">
        <v>255</v>
      </c>
      <c r="C207" s="5">
        <v>44501</v>
      </c>
      <c r="D207" t="s">
        <v>152</v>
      </c>
      <c r="E207" s="18">
        <v>0</v>
      </c>
      <c r="F207" s="18">
        <v>0.87833055000000004</v>
      </c>
      <c r="G207" s="18">
        <v>0</v>
      </c>
    </row>
    <row r="208" spans="1:7" x14ac:dyDescent="0.2">
      <c r="A208" s="113">
        <v>25836.089665</v>
      </c>
      <c r="B208" t="s">
        <v>255</v>
      </c>
      <c r="C208" s="5">
        <v>44503</v>
      </c>
      <c r="D208" t="s">
        <v>152</v>
      </c>
      <c r="E208" s="18">
        <v>0</v>
      </c>
      <c r="F208" s="18">
        <v>0.87833055000000004</v>
      </c>
      <c r="G208" s="18">
        <v>0</v>
      </c>
    </row>
    <row r="209" spans="1:7" x14ac:dyDescent="0.2">
      <c r="A209" s="113">
        <v>18240.818439999999</v>
      </c>
      <c r="B209" t="s">
        <v>255</v>
      </c>
      <c r="C209" s="5">
        <v>44509</v>
      </c>
      <c r="D209" t="s">
        <v>145</v>
      </c>
      <c r="E209" s="18">
        <v>0</v>
      </c>
      <c r="F209" s="18">
        <v>0.87833055000000004</v>
      </c>
      <c r="G209" s="18">
        <v>0</v>
      </c>
    </row>
    <row r="210" spans="1:7" x14ac:dyDescent="0.2">
      <c r="A210" s="113">
        <v>15533.369804</v>
      </c>
      <c r="B210" t="s">
        <v>255</v>
      </c>
      <c r="C210" s="5">
        <v>44513</v>
      </c>
      <c r="D210" t="s">
        <v>152</v>
      </c>
      <c r="E210" s="18">
        <v>0</v>
      </c>
      <c r="F210" s="18">
        <v>0.87833055000000004</v>
      </c>
      <c r="G210" s="18">
        <v>0</v>
      </c>
    </row>
    <row r="211" spans="1:7" x14ac:dyDescent="0.2">
      <c r="A211" s="113">
        <v>14592.594612999999</v>
      </c>
      <c r="B211" t="s">
        <v>255</v>
      </c>
      <c r="C211" s="5">
        <v>44513</v>
      </c>
      <c r="D211" t="s">
        <v>147</v>
      </c>
      <c r="E211" s="18">
        <v>0</v>
      </c>
      <c r="F211" s="18">
        <v>0.87833055000000004</v>
      </c>
      <c r="G211" s="18">
        <v>0</v>
      </c>
    </row>
    <row r="212" spans="1:7" x14ac:dyDescent="0.2">
      <c r="A212" s="113">
        <v>5528.4715990000004</v>
      </c>
      <c r="B212" t="s">
        <v>255</v>
      </c>
      <c r="C212" s="5">
        <v>44513</v>
      </c>
      <c r="D212" t="s">
        <v>184</v>
      </c>
      <c r="E212" s="18">
        <v>0</v>
      </c>
      <c r="F212" s="18">
        <v>0.87833055000000004</v>
      </c>
      <c r="G212" s="18">
        <v>0</v>
      </c>
    </row>
    <row r="213" spans="1:7" x14ac:dyDescent="0.2">
      <c r="A213" s="113">
        <v>25000</v>
      </c>
      <c r="B213" t="s">
        <v>255</v>
      </c>
      <c r="C213" s="5">
        <v>44514</v>
      </c>
      <c r="D213" t="s">
        <v>152</v>
      </c>
      <c r="E213" s="18">
        <v>0</v>
      </c>
      <c r="F213" s="18">
        <v>0.87833055000000004</v>
      </c>
      <c r="G213" s="18">
        <v>0</v>
      </c>
    </row>
    <row r="214" spans="1:7" x14ac:dyDescent="0.2">
      <c r="A214" s="113">
        <v>4167</v>
      </c>
      <c r="B214" t="s">
        <v>255</v>
      </c>
      <c r="C214" s="5">
        <v>44525</v>
      </c>
      <c r="D214" t="s">
        <v>127</v>
      </c>
      <c r="E214" s="18">
        <v>0</v>
      </c>
      <c r="F214" s="18">
        <v>0.87833055000000004</v>
      </c>
      <c r="G214" s="18">
        <v>0</v>
      </c>
    </row>
    <row r="215" spans="1:7" x14ac:dyDescent="0.2">
      <c r="A215" s="113">
        <v>52215.111227000001</v>
      </c>
      <c r="B215" t="s">
        <v>255</v>
      </c>
      <c r="C215" s="5">
        <v>44538</v>
      </c>
      <c r="D215" t="s">
        <v>152</v>
      </c>
      <c r="E215" s="18">
        <v>0</v>
      </c>
      <c r="F215" s="18">
        <v>0.87833055000000004</v>
      </c>
      <c r="G215" s="18">
        <v>0</v>
      </c>
    </row>
    <row r="216" spans="1:7" x14ac:dyDescent="0.2">
      <c r="A216" s="113">
        <v>4526.9721120000004</v>
      </c>
      <c r="B216" t="s">
        <v>255</v>
      </c>
      <c r="C216" s="5">
        <v>44539</v>
      </c>
      <c r="D216" t="s">
        <v>257</v>
      </c>
      <c r="E216" s="18">
        <v>0</v>
      </c>
      <c r="F216" s="18">
        <v>0.87833055000000004</v>
      </c>
      <c r="G216" s="18">
        <v>0</v>
      </c>
    </row>
    <row r="217" spans="1:7" x14ac:dyDescent="0.2">
      <c r="A217" s="113">
        <v>3044.2766160000001</v>
      </c>
      <c r="B217" t="s">
        <v>255</v>
      </c>
      <c r="C217" s="5">
        <v>44540</v>
      </c>
      <c r="D217" t="s">
        <v>141</v>
      </c>
      <c r="E217" s="18">
        <v>0</v>
      </c>
      <c r="F217" s="18">
        <v>0.87833055000000004</v>
      </c>
      <c r="G217" s="18">
        <v>0</v>
      </c>
    </row>
    <row r="218" spans="1:7" x14ac:dyDescent="0.2">
      <c r="A218" s="113">
        <v>81975.488687560006</v>
      </c>
      <c r="B218" t="s">
        <v>255</v>
      </c>
      <c r="C218" s="5">
        <v>44549</v>
      </c>
      <c r="D218" t="s">
        <v>258</v>
      </c>
      <c r="E218" s="18">
        <v>0</v>
      </c>
      <c r="F218" s="18">
        <v>0.87833055000000004</v>
      </c>
      <c r="G218" s="18">
        <v>0</v>
      </c>
    </row>
    <row r="219" spans="1:7" x14ac:dyDescent="0.2">
      <c r="A219" s="113">
        <v>5884.3569741399997</v>
      </c>
      <c r="B219" t="s">
        <v>255</v>
      </c>
      <c r="C219" s="5">
        <v>44549</v>
      </c>
      <c r="D219" t="s">
        <v>127</v>
      </c>
      <c r="E219" s="18">
        <v>0</v>
      </c>
      <c r="F219" s="18">
        <v>0.87833055000000004</v>
      </c>
      <c r="G219" s="18">
        <v>0</v>
      </c>
    </row>
    <row r="220" spans="1:7" x14ac:dyDescent="0.2">
      <c r="A220" s="113">
        <v>20359.875129280001</v>
      </c>
      <c r="B220" t="s">
        <v>255</v>
      </c>
      <c r="C220" s="5">
        <v>44550</v>
      </c>
      <c r="D220" t="s">
        <v>259</v>
      </c>
      <c r="E220" s="18">
        <v>0</v>
      </c>
      <c r="F220" s="18">
        <v>0.87833055000000004</v>
      </c>
      <c r="G220" s="18">
        <v>0</v>
      </c>
    </row>
    <row r="221" spans="1:7" x14ac:dyDescent="0.2">
      <c r="A221" s="113">
        <v>125.723161</v>
      </c>
      <c r="B221" t="s">
        <v>255</v>
      </c>
      <c r="C221" s="5">
        <v>44550</v>
      </c>
      <c r="D221" t="s">
        <v>184</v>
      </c>
      <c r="E221" s="18">
        <v>0</v>
      </c>
      <c r="F221" s="18">
        <v>0.87833055000000004</v>
      </c>
      <c r="G221" s="18">
        <v>0</v>
      </c>
    </row>
    <row r="222" spans="1:7" x14ac:dyDescent="0.2">
      <c r="A222" s="113">
        <v>3681.4324059999999</v>
      </c>
      <c r="B222" t="s">
        <v>255</v>
      </c>
      <c r="C222" s="5">
        <v>44558</v>
      </c>
      <c r="D222" t="s">
        <v>152</v>
      </c>
      <c r="E222" s="18">
        <v>0</v>
      </c>
      <c r="F222" s="18">
        <v>0.87833055000000004</v>
      </c>
      <c r="G222" s="18">
        <v>0</v>
      </c>
    </row>
    <row r="223" spans="1:7" x14ac:dyDescent="0.2">
      <c r="A223" s="113">
        <v>15.434291</v>
      </c>
      <c r="B223" t="s">
        <v>255</v>
      </c>
      <c r="C223" s="5">
        <v>44561</v>
      </c>
      <c r="D223" t="s">
        <v>184</v>
      </c>
      <c r="E223" s="18">
        <v>0</v>
      </c>
      <c r="F223" s="18">
        <v>0.87833055000000004</v>
      </c>
      <c r="G223" s="18">
        <v>0</v>
      </c>
    </row>
    <row r="224" spans="1:7" x14ac:dyDescent="0.2">
      <c r="A224" s="113">
        <v>100.21642772</v>
      </c>
      <c r="B224" t="s">
        <v>260</v>
      </c>
      <c r="C224" s="5">
        <v>44247</v>
      </c>
      <c r="D224" t="s">
        <v>158</v>
      </c>
      <c r="E224" s="18">
        <v>0</v>
      </c>
      <c r="F224" s="18">
        <v>0.26871708</v>
      </c>
      <c r="G224" s="18">
        <v>0</v>
      </c>
    </row>
    <row r="225" spans="1:7" x14ac:dyDescent="0.2">
      <c r="A225" s="113">
        <v>390</v>
      </c>
      <c r="B225" t="s">
        <v>261</v>
      </c>
      <c r="C225" s="5">
        <v>44228</v>
      </c>
      <c r="D225" t="s">
        <v>262</v>
      </c>
      <c r="E225" s="18">
        <v>0</v>
      </c>
      <c r="F225" s="18">
        <v>6.4237089999999997E-2</v>
      </c>
      <c r="G225" s="18">
        <v>0</v>
      </c>
    </row>
    <row r="226" spans="1:7" x14ac:dyDescent="0.2">
      <c r="A226" s="113">
        <v>3600000</v>
      </c>
      <c r="B226" t="s">
        <v>263</v>
      </c>
      <c r="C226" s="5">
        <v>44412</v>
      </c>
      <c r="D226" t="s">
        <v>256</v>
      </c>
      <c r="E226" s="18">
        <v>0</v>
      </c>
      <c r="F226" s="18">
        <v>0</v>
      </c>
      <c r="G226" s="18">
        <v>0</v>
      </c>
    </row>
    <row r="227" spans="1:7" x14ac:dyDescent="0.2">
      <c r="A227" s="113">
        <v>1</v>
      </c>
      <c r="B227" t="s">
        <v>263</v>
      </c>
      <c r="C227" s="5">
        <v>44498</v>
      </c>
      <c r="D227" t="s">
        <v>122</v>
      </c>
      <c r="E227" s="18">
        <v>0</v>
      </c>
      <c r="F227" s="18">
        <v>0</v>
      </c>
      <c r="G227" s="18">
        <v>0</v>
      </c>
    </row>
    <row r="228" spans="1:7" x14ac:dyDescent="0.2">
      <c r="A228" s="113">
        <v>1</v>
      </c>
      <c r="B228" t="s">
        <v>264</v>
      </c>
      <c r="C228" s="5">
        <v>44482</v>
      </c>
      <c r="D228" t="s">
        <v>122</v>
      </c>
      <c r="E228" s="18">
        <v>0</v>
      </c>
      <c r="F228" s="18">
        <v>0</v>
      </c>
      <c r="G228" s="18">
        <v>0</v>
      </c>
    </row>
    <row r="229" spans="1:7" x14ac:dyDescent="0.2">
      <c r="A229" s="113">
        <v>1145525.1434599899</v>
      </c>
      <c r="B229" t="s">
        <v>265</v>
      </c>
      <c r="C229" s="5">
        <v>44203</v>
      </c>
      <c r="D229" t="s">
        <v>258</v>
      </c>
      <c r="E229" s="18">
        <v>0</v>
      </c>
      <c r="F229" s="18">
        <v>8.4522000000000004E-4</v>
      </c>
      <c r="G229" s="18">
        <v>0</v>
      </c>
    </row>
    <row r="230" spans="1:7" x14ac:dyDescent="0.2">
      <c r="A230" s="113">
        <v>1709077</v>
      </c>
      <c r="B230" t="s">
        <v>265</v>
      </c>
      <c r="C230" s="5">
        <v>44229</v>
      </c>
      <c r="D230" t="s">
        <v>258</v>
      </c>
      <c r="E230" s="18">
        <v>0</v>
      </c>
      <c r="F230" s="18">
        <v>8.4522000000000004E-4</v>
      </c>
      <c r="G230" s="18">
        <v>0</v>
      </c>
    </row>
    <row r="231" spans="1:7" x14ac:dyDescent="0.2">
      <c r="A231" s="113">
        <v>64998.7</v>
      </c>
      <c r="B231" t="s">
        <v>266</v>
      </c>
      <c r="C231" s="5">
        <v>44178</v>
      </c>
      <c r="D231" t="s">
        <v>127</v>
      </c>
      <c r="E231" s="18">
        <v>0</v>
      </c>
      <c r="F231" s="18">
        <v>0.13593029000000001</v>
      </c>
      <c r="G231" s="18">
        <v>0</v>
      </c>
    </row>
    <row r="232" spans="1:7" x14ac:dyDescent="0.2">
      <c r="A232" s="113">
        <v>1668.2</v>
      </c>
      <c r="B232" t="s">
        <v>267</v>
      </c>
      <c r="C232" s="5">
        <v>44228</v>
      </c>
      <c r="D232" t="s">
        <v>150</v>
      </c>
      <c r="E232" s="18">
        <v>0</v>
      </c>
      <c r="F232" s="18">
        <v>8.2527000000000002E-4</v>
      </c>
      <c r="G232" s="18">
        <v>0</v>
      </c>
    </row>
    <row r="233" spans="1:7" x14ac:dyDescent="0.2">
      <c r="A233" s="113">
        <v>2E-3</v>
      </c>
      <c r="B233" t="s">
        <v>268</v>
      </c>
      <c r="C233" s="5">
        <v>44269</v>
      </c>
      <c r="D233" t="s">
        <v>269</v>
      </c>
      <c r="E233" s="18">
        <v>0</v>
      </c>
      <c r="F233" s="18">
        <v>2.3803E-4</v>
      </c>
      <c r="G233" s="18">
        <v>0</v>
      </c>
    </row>
    <row r="234" spans="1:7" x14ac:dyDescent="0.2">
      <c r="A234" s="113">
        <v>169939.07417198</v>
      </c>
      <c r="B234" t="s">
        <v>270</v>
      </c>
      <c r="C234" s="5">
        <v>44462</v>
      </c>
      <c r="D234" t="s">
        <v>152</v>
      </c>
      <c r="E234" s="18">
        <v>0</v>
      </c>
      <c r="F234" s="18">
        <v>1.0865359999999999E-2</v>
      </c>
      <c r="G234" s="18">
        <v>0</v>
      </c>
    </row>
    <row r="235" spans="1:7" x14ac:dyDescent="0.2">
      <c r="A235" s="113">
        <v>500000</v>
      </c>
      <c r="B235" t="s">
        <v>271</v>
      </c>
      <c r="C235" s="5">
        <v>44286</v>
      </c>
      <c r="D235" t="s">
        <v>122</v>
      </c>
      <c r="E235" s="18">
        <v>0</v>
      </c>
      <c r="F235" s="18">
        <v>1.9992579999999999E-2</v>
      </c>
      <c r="G235" s="18">
        <v>0</v>
      </c>
    </row>
    <row r="236" spans="1:7" x14ac:dyDescent="0.2">
      <c r="A236" s="113">
        <v>1818181</v>
      </c>
      <c r="B236" t="s">
        <v>272</v>
      </c>
      <c r="C236" s="5">
        <v>44511</v>
      </c>
      <c r="D236" t="s">
        <v>122</v>
      </c>
      <c r="E236" s="18">
        <v>0</v>
      </c>
      <c r="F236" s="18">
        <v>1.0074824099999999</v>
      </c>
      <c r="G236" s="18">
        <v>0</v>
      </c>
    </row>
    <row r="237" spans="1:7" x14ac:dyDescent="0.2">
      <c r="A237" s="113">
        <v>464043</v>
      </c>
      <c r="B237" t="s">
        <v>273</v>
      </c>
      <c r="C237" s="5">
        <v>44449</v>
      </c>
      <c r="D237" t="s">
        <v>127</v>
      </c>
      <c r="E237" s="18">
        <v>0</v>
      </c>
      <c r="F237" s="18">
        <v>0</v>
      </c>
      <c r="G237" s="18">
        <v>0</v>
      </c>
    </row>
    <row r="238" spans="1:7" x14ac:dyDescent="0.2">
      <c r="A238" s="113">
        <v>0.33</v>
      </c>
      <c r="B238" t="s">
        <v>274</v>
      </c>
      <c r="C238" s="5">
        <v>44062</v>
      </c>
      <c r="D238" t="s">
        <v>152</v>
      </c>
      <c r="E238" s="18">
        <v>0</v>
      </c>
      <c r="F238" s="18">
        <v>0.11538241</v>
      </c>
      <c r="G238" s="18">
        <v>0</v>
      </c>
    </row>
    <row r="239" spans="1:7" x14ac:dyDescent="0.2">
      <c r="A239" s="113">
        <v>6207.1620000000003</v>
      </c>
      <c r="B239" t="s">
        <v>275</v>
      </c>
      <c r="C239" s="5">
        <v>44354</v>
      </c>
      <c r="D239" t="s">
        <v>150</v>
      </c>
      <c r="E239" s="18">
        <v>0</v>
      </c>
      <c r="F239" s="18">
        <v>0.24908714000000001</v>
      </c>
      <c r="G239" s="18">
        <v>0</v>
      </c>
    </row>
    <row r="240" spans="1:7" x14ac:dyDescent="0.2">
      <c r="A240" s="113">
        <v>207</v>
      </c>
      <c r="B240" t="s">
        <v>276</v>
      </c>
      <c r="C240" s="5">
        <v>44300</v>
      </c>
      <c r="D240" t="s">
        <v>152</v>
      </c>
      <c r="E240" s="18">
        <v>0</v>
      </c>
      <c r="F240" s="18">
        <v>2.5900000000000002E-6</v>
      </c>
      <c r="G240" s="18">
        <v>0</v>
      </c>
    </row>
    <row r="241" spans="1:7" x14ac:dyDescent="0.2">
      <c r="A241" s="113">
        <v>1091937.09987</v>
      </c>
      <c r="B241" t="s">
        <v>277</v>
      </c>
      <c r="C241" s="5">
        <v>43454</v>
      </c>
      <c r="D241" t="s">
        <v>132</v>
      </c>
      <c r="E241" s="18">
        <v>0</v>
      </c>
      <c r="F241" s="18">
        <v>0.23491666</v>
      </c>
      <c r="G241" s="18">
        <v>0</v>
      </c>
    </row>
    <row r="242" spans="1:7" x14ac:dyDescent="0.2">
      <c r="A242" s="113">
        <v>158422.5</v>
      </c>
      <c r="B242" t="s">
        <v>277</v>
      </c>
      <c r="C242" s="5">
        <v>44225</v>
      </c>
      <c r="D242" t="s">
        <v>150</v>
      </c>
      <c r="E242" s="18">
        <v>0</v>
      </c>
      <c r="F242" s="18">
        <v>0.23491666</v>
      </c>
      <c r="G242" s="18">
        <v>0</v>
      </c>
    </row>
    <row r="243" spans="1:7" x14ac:dyDescent="0.2">
      <c r="A243" s="113">
        <v>0.64</v>
      </c>
      <c r="B243" t="s">
        <v>278</v>
      </c>
      <c r="C243" s="5">
        <v>44317</v>
      </c>
      <c r="D243" t="s">
        <v>127</v>
      </c>
      <c r="E243" s="18">
        <v>0</v>
      </c>
      <c r="F243" s="18">
        <v>1.0097985700000001</v>
      </c>
      <c r="G243" s="18">
        <v>0</v>
      </c>
    </row>
    <row r="244" spans="1:7" x14ac:dyDescent="0.2">
      <c r="A244" s="113">
        <v>10000</v>
      </c>
      <c r="B244" t="s">
        <v>279</v>
      </c>
      <c r="C244" s="5">
        <v>44315</v>
      </c>
      <c r="D244" t="s">
        <v>129</v>
      </c>
      <c r="E244" s="18">
        <v>0</v>
      </c>
      <c r="F244" s="18">
        <v>9.1580700000000008E-3</v>
      </c>
      <c r="G244" s="18">
        <v>0</v>
      </c>
    </row>
    <row r="245" spans="1:7" x14ac:dyDescent="0.2">
      <c r="A245" s="113">
        <v>2642.4104900000002</v>
      </c>
      <c r="B245" t="s">
        <v>280</v>
      </c>
      <c r="C245" s="5">
        <v>44350</v>
      </c>
      <c r="D245" t="s">
        <v>129</v>
      </c>
      <c r="E245" s="18">
        <v>0</v>
      </c>
      <c r="F245" s="18">
        <v>0.82152250999999998</v>
      </c>
      <c r="G245" s="18">
        <v>0</v>
      </c>
    </row>
    <row r="246" spans="1:7" x14ac:dyDescent="0.2">
      <c r="A246" s="113">
        <v>129870</v>
      </c>
      <c r="B246" t="s">
        <v>280</v>
      </c>
      <c r="C246" s="5">
        <v>44441</v>
      </c>
      <c r="D246" t="s">
        <v>129</v>
      </c>
      <c r="E246" s="18">
        <v>0</v>
      </c>
      <c r="F246" s="18">
        <v>0.82152250999999998</v>
      </c>
      <c r="G246" s="18">
        <v>0</v>
      </c>
    </row>
    <row r="247" spans="1:7" x14ac:dyDescent="0.2">
      <c r="A247" s="113">
        <v>5149.8</v>
      </c>
      <c r="B247" t="s">
        <v>280</v>
      </c>
      <c r="C247" s="5">
        <v>44530</v>
      </c>
      <c r="D247" t="s">
        <v>127</v>
      </c>
      <c r="E247" s="18">
        <v>0</v>
      </c>
      <c r="F247" s="18">
        <v>0.82152250999999998</v>
      </c>
      <c r="G247" s="18">
        <v>0</v>
      </c>
    </row>
    <row r="248" spans="1:7" x14ac:dyDescent="0.2">
      <c r="A248" s="113">
        <v>380552</v>
      </c>
      <c r="B248" t="s">
        <v>281</v>
      </c>
      <c r="C248" s="5">
        <v>44327</v>
      </c>
      <c r="D248" t="s">
        <v>122</v>
      </c>
      <c r="E248" s="18">
        <v>0</v>
      </c>
      <c r="F248" s="18">
        <v>7.3328000000000004E-3</v>
      </c>
      <c r="G248" s="18">
        <v>0</v>
      </c>
    </row>
    <row r="249" spans="1:7" x14ac:dyDescent="0.2">
      <c r="A249" s="113">
        <v>25000</v>
      </c>
      <c r="B249" t="s">
        <v>281</v>
      </c>
      <c r="C249" s="5">
        <v>44471</v>
      </c>
      <c r="D249" t="s">
        <v>158</v>
      </c>
      <c r="E249" s="18">
        <v>0</v>
      </c>
      <c r="F249" s="18">
        <v>7.3328000000000004E-3</v>
      </c>
      <c r="G249" s="18">
        <v>0</v>
      </c>
    </row>
    <row r="250" spans="1:7" x14ac:dyDescent="0.2">
      <c r="A250" s="113">
        <v>25000</v>
      </c>
      <c r="B250" t="s">
        <v>281</v>
      </c>
      <c r="C250" s="5">
        <v>44471</v>
      </c>
      <c r="D250" t="s">
        <v>127</v>
      </c>
      <c r="E250" s="18">
        <v>0</v>
      </c>
      <c r="F250" s="18">
        <v>7.3328000000000004E-3</v>
      </c>
      <c r="G250" s="18">
        <v>0</v>
      </c>
    </row>
    <row r="251" spans="1:7" x14ac:dyDescent="0.2">
      <c r="A251" s="113">
        <v>22569</v>
      </c>
      <c r="B251" t="s">
        <v>281</v>
      </c>
      <c r="C251" s="5">
        <v>44472</v>
      </c>
      <c r="D251" t="s">
        <v>158</v>
      </c>
      <c r="E251" s="18">
        <v>0</v>
      </c>
      <c r="F251" s="18">
        <v>7.3328000000000004E-3</v>
      </c>
      <c r="G251" s="18">
        <v>0</v>
      </c>
    </row>
    <row r="252" spans="1:7" x14ac:dyDescent="0.2">
      <c r="A252" s="113">
        <v>22569</v>
      </c>
      <c r="B252" t="s">
        <v>281</v>
      </c>
      <c r="C252" s="5">
        <v>44472</v>
      </c>
      <c r="D252" t="s">
        <v>127</v>
      </c>
      <c r="E252" s="18">
        <v>0</v>
      </c>
      <c r="F252" s="18">
        <v>7.3328000000000004E-3</v>
      </c>
      <c r="G252" s="18">
        <v>0</v>
      </c>
    </row>
    <row r="253" spans="1:7" x14ac:dyDescent="0.2">
      <c r="A253" s="113">
        <v>7.6999999999999996E-4</v>
      </c>
      <c r="B253" t="s">
        <v>282</v>
      </c>
      <c r="C253" s="5">
        <v>44310</v>
      </c>
      <c r="D253" t="s">
        <v>152</v>
      </c>
      <c r="E253" s="18">
        <v>0</v>
      </c>
      <c r="F253" s="18">
        <v>0.27654378000000002</v>
      </c>
      <c r="G253" s="18">
        <v>0</v>
      </c>
    </row>
    <row r="254" spans="1:7" x14ac:dyDescent="0.2">
      <c r="A254" s="113">
        <v>834601.00049999997</v>
      </c>
      <c r="B254" t="s">
        <v>283</v>
      </c>
      <c r="C254" s="5">
        <v>44200</v>
      </c>
      <c r="D254" t="s">
        <v>152</v>
      </c>
      <c r="E254" s="18">
        <v>0</v>
      </c>
      <c r="F254" s="18">
        <v>2.8390209999999999E-2</v>
      </c>
      <c r="G254" s="18">
        <v>0</v>
      </c>
    </row>
    <row r="255" spans="1:7" x14ac:dyDescent="0.2">
      <c r="A255" s="113">
        <v>3401.119518</v>
      </c>
      <c r="B255" t="s">
        <v>284</v>
      </c>
      <c r="C255" s="5">
        <v>44314</v>
      </c>
      <c r="D255" t="s">
        <v>152</v>
      </c>
      <c r="E255" s="18">
        <v>0</v>
      </c>
      <c r="F255" s="18">
        <v>0</v>
      </c>
      <c r="G255" s="18">
        <v>0</v>
      </c>
    </row>
    <row r="256" spans="1:7" x14ac:dyDescent="0.2">
      <c r="A256" s="113">
        <v>2577.191311</v>
      </c>
      <c r="B256" t="s">
        <v>284</v>
      </c>
      <c r="C256" s="5">
        <v>44338</v>
      </c>
      <c r="D256" t="s">
        <v>152</v>
      </c>
      <c r="E256" s="18">
        <v>0</v>
      </c>
      <c r="F256" s="18">
        <v>0</v>
      </c>
      <c r="G256" s="18">
        <v>0</v>
      </c>
    </row>
    <row r="257" spans="1:7" x14ac:dyDescent="0.2">
      <c r="A257" s="113">
        <v>200000</v>
      </c>
      <c r="B257" t="s">
        <v>285</v>
      </c>
      <c r="C257" s="5">
        <v>44312</v>
      </c>
      <c r="D257" t="s">
        <v>122</v>
      </c>
      <c r="E257" s="18">
        <v>0</v>
      </c>
      <c r="F257" s="18">
        <v>1.5910379999999998E-2</v>
      </c>
      <c r="G257" s="18">
        <v>0</v>
      </c>
    </row>
    <row r="258" spans="1:7" x14ac:dyDescent="0.2">
      <c r="A258" s="113">
        <v>1.8372000000000001E-4</v>
      </c>
      <c r="B258" t="s">
        <v>286</v>
      </c>
      <c r="C258" s="5">
        <v>43671</v>
      </c>
      <c r="D258" t="s">
        <v>132</v>
      </c>
      <c r="E258" s="18">
        <v>0</v>
      </c>
      <c r="F258" s="18">
        <v>201.21463395999999</v>
      </c>
      <c r="G258" s="18">
        <v>0</v>
      </c>
    </row>
    <row r="259" spans="1:7" x14ac:dyDescent="0.2">
      <c r="A259" s="113">
        <v>6.8529999999999998</v>
      </c>
      <c r="B259" t="s">
        <v>287</v>
      </c>
      <c r="C259" s="5">
        <v>44225</v>
      </c>
      <c r="D259" t="s">
        <v>150</v>
      </c>
      <c r="E259" s="18">
        <v>0</v>
      </c>
      <c r="F259" s="18">
        <v>0</v>
      </c>
      <c r="G259" s="18">
        <v>0</v>
      </c>
    </row>
    <row r="260" spans="1:7" x14ac:dyDescent="0.2">
      <c r="A260" s="113">
        <v>10937.6</v>
      </c>
      <c r="B260" t="s">
        <v>288</v>
      </c>
      <c r="C260" s="5">
        <v>44229</v>
      </c>
      <c r="D260" t="s">
        <v>152</v>
      </c>
      <c r="E260" s="18">
        <v>0</v>
      </c>
      <c r="F260" s="18">
        <v>0.23753403000000001</v>
      </c>
      <c r="G260" s="18">
        <v>0</v>
      </c>
    </row>
    <row r="261" spans="1:7" x14ac:dyDescent="0.2">
      <c r="A261" s="113">
        <v>85000</v>
      </c>
      <c r="B261" t="s">
        <v>289</v>
      </c>
      <c r="C261" s="5">
        <v>44272</v>
      </c>
      <c r="D261" t="s">
        <v>122</v>
      </c>
      <c r="E261" s="18">
        <v>0</v>
      </c>
      <c r="F261" s="18">
        <v>7.4556880000000006E-2</v>
      </c>
      <c r="G261" s="18">
        <v>0</v>
      </c>
    </row>
    <row r="262" spans="1:7" x14ac:dyDescent="0.2">
      <c r="A262" s="113">
        <v>104000</v>
      </c>
      <c r="B262" t="s">
        <v>290</v>
      </c>
      <c r="C262" s="5">
        <v>44279</v>
      </c>
      <c r="D262" t="s">
        <v>122</v>
      </c>
      <c r="E262" s="18">
        <v>0</v>
      </c>
      <c r="F262" s="18">
        <v>0.21332065</v>
      </c>
      <c r="G262" s="18">
        <v>0</v>
      </c>
    </row>
    <row r="263" spans="1:7" x14ac:dyDescent="0.2">
      <c r="A263" s="113">
        <v>762.60837321999998</v>
      </c>
      <c r="B263" t="s">
        <v>291</v>
      </c>
      <c r="C263" s="5">
        <v>44482</v>
      </c>
      <c r="D263" t="s">
        <v>152</v>
      </c>
      <c r="E263" s="18">
        <v>0</v>
      </c>
      <c r="F263" s="18">
        <v>6.2830000000000007E-5</v>
      </c>
      <c r="G263" s="18">
        <v>0</v>
      </c>
    </row>
    <row r="264" spans="1:7" x14ac:dyDescent="0.2">
      <c r="A264" s="113">
        <v>24535.22</v>
      </c>
      <c r="B264" t="s">
        <v>292</v>
      </c>
      <c r="C264" s="5">
        <v>44229</v>
      </c>
      <c r="D264" t="s">
        <v>122</v>
      </c>
      <c r="E264" s="18">
        <v>0</v>
      </c>
      <c r="F264" s="18">
        <v>0.40977883999999998</v>
      </c>
      <c r="G264" s="18">
        <v>0</v>
      </c>
    </row>
    <row r="265" spans="1:7" x14ac:dyDescent="0.2">
      <c r="A265" s="113">
        <v>41.000019999999999</v>
      </c>
      <c r="B265" t="s">
        <v>293</v>
      </c>
      <c r="C265" s="5">
        <v>44226</v>
      </c>
      <c r="D265" t="s">
        <v>132</v>
      </c>
      <c r="E265" s="18">
        <v>0</v>
      </c>
      <c r="F265" s="18">
        <v>0.73044134000000005</v>
      </c>
      <c r="G265" s="18">
        <v>0</v>
      </c>
    </row>
    <row r="266" spans="1:7" x14ac:dyDescent="0.2">
      <c r="A266" s="113">
        <v>4500891.83024</v>
      </c>
      <c r="B266" t="s">
        <v>294</v>
      </c>
      <c r="C266" s="5">
        <v>43404</v>
      </c>
      <c r="D266" t="s">
        <v>295</v>
      </c>
      <c r="E266" s="18">
        <v>0</v>
      </c>
      <c r="F266" s="18">
        <v>7.0449800000000002E-3</v>
      </c>
      <c r="G266" s="18">
        <v>0</v>
      </c>
    </row>
    <row r="267" spans="1:7" x14ac:dyDescent="0.2">
      <c r="A267" s="113">
        <v>65426.13080649</v>
      </c>
      <c r="B267" t="s">
        <v>296</v>
      </c>
      <c r="C267" s="5">
        <v>44499</v>
      </c>
      <c r="D267" t="s">
        <v>147</v>
      </c>
      <c r="E267" s="18">
        <v>0</v>
      </c>
      <c r="F267" s="18">
        <v>8.9132800000000009E-3</v>
      </c>
      <c r="G267" s="18">
        <v>0</v>
      </c>
    </row>
    <row r="268" spans="1:7" x14ac:dyDescent="0.2">
      <c r="A268" s="113">
        <v>50928.86008649</v>
      </c>
      <c r="B268" t="s">
        <v>297</v>
      </c>
      <c r="C268" s="5">
        <v>44544</v>
      </c>
      <c r="D268" t="s">
        <v>152</v>
      </c>
      <c r="E268" s="18">
        <v>0</v>
      </c>
      <c r="F268" s="18">
        <v>0.87867912000000004</v>
      </c>
      <c r="G268" s="18">
        <v>0</v>
      </c>
    </row>
    <row r="269" spans="1:7" x14ac:dyDescent="0.2">
      <c r="A269" s="113">
        <v>83856.664711320002</v>
      </c>
      <c r="B269" t="s">
        <v>297</v>
      </c>
      <c r="C269" s="5">
        <v>44544</v>
      </c>
      <c r="D269" t="s">
        <v>184</v>
      </c>
      <c r="E269" s="18">
        <v>0</v>
      </c>
      <c r="F269" s="18">
        <v>0.87867912000000004</v>
      </c>
      <c r="G269" s="18">
        <v>0</v>
      </c>
    </row>
    <row r="270" spans="1:7" x14ac:dyDescent="0.2">
      <c r="A270" s="113">
        <v>123.6611115</v>
      </c>
      <c r="B270" t="s">
        <v>297</v>
      </c>
      <c r="C270" s="5">
        <v>44550</v>
      </c>
      <c r="D270" t="s">
        <v>184</v>
      </c>
      <c r="E270" s="18">
        <v>0</v>
      </c>
      <c r="F270" s="18">
        <v>0.87867912000000004</v>
      </c>
      <c r="G270" s="18">
        <v>0</v>
      </c>
    </row>
    <row r="271" spans="1:7" x14ac:dyDescent="0.2">
      <c r="A271" s="113">
        <v>15.245228750000001</v>
      </c>
      <c r="B271" t="s">
        <v>297</v>
      </c>
      <c r="C271" s="5">
        <v>44561</v>
      </c>
      <c r="D271" t="s">
        <v>184</v>
      </c>
      <c r="E271" s="18">
        <v>0</v>
      </c>
      <c r="F271" s="18">
        <v>0.87867912000000004</v>
      </c>
      <c r="G271" s="18">
        <v>0</v>
      </c>
    </row>
    <row r="272" spans="1:7" x14ac:dyDescent="0.2">
      <c r="A272" s="113">
        <v>868000</v>
      </c>
      <c r="B272" t="s">
        <v>298</v>
      </c>
      <c r="C272" s="5">
        <v>44301</v>
      </c>
      <c r="D272" t="s">
        <v>122</v>
      </c>
      <c r="E272" s="18">
        <v>0</v>
      </c>
      <c r="F272" s="18">
        <v>1.8467799999999999E-3</v>
      </c>
      <c r="G272" s="18">
        <v>0</v>
      </c>
    </row>
    <row r="273" spans="1:7" x14ac:dyDescent="0.2">
      <c r="A273" s="113">
        <v>0.12086444</v>
      </c>
      <c r="B273" t="s">
        <v>299</v>
      </c>
      <c r="C273" s="5">
        <v>44554</v>
      </c>
      <c r="D273" t="s">
        <v>152</v>
      </c>
      <c r="E273" s="18">
        <v>0</v>
      </c>
      <c r="F273" s="18">
        <v>3.656939E-2</v>
      </c>
      <c r="G273" s="18">
        <v>0</v>
      </c>
    </row>
    <row r="274" spans="1:7" x14ac:dyDescent="0.2">
      <c r="A274" s="113">
        <v>1</v>
      </c>
      <c r="B274" t="s">
        <v>300</v>
      </c>
      <c r="C274" s="5">
        <v>44443</v>
      </c>
      <c r="D274" t="s">
        <v>152</v>
      </c>
      <c r="E274" s="18">
        <v>0</v>
      </c>
      <c r="F274" s="18">
        <v>0</v>
      </c>
      <c r="G274" s="18">
        <v>0</v>
      </c>
    </row>
    <row r="275" spans="1:7" x14ac:dyDescent="0.2">
      <c r="A275" s="113">
        <v>300000</v>
      </c>
      <c r="B275" t="s">
        <v>301</v>
      </c>
      <c r="C275" s="5">
        <v>44512</v>
      </c>
      <c r="D275" t="s">
        <v>184</v>
      </c>
      <c r="E275" s="18">
        <v>0</v>
      </c>
      <c r="F275" s="18">
        <v>0</v>
      </c>
      <c r="G275" s="18">
        <v>0</v>
      </c>
    </row>
    <row r="276" spans="1:7" x14ac:dyDescent="0.2">
      <c r="A276" s="113">
        <v>17500.1636</v>
      </c>
      <c r="B276" t="s">
        <v>302</v>
      </c>
      <c r="C276" s="5">
        <v>44119</v>
      </c>
      <c r="D276" t="s">
        <v>124</v>
      </c>
      <c r="E276" s="18">
        <v>0</v>
      </c>
      <c r="F276" s="18">
        <v>2.171789E-2</v>
      </c>
      <c r="G276" s="18">
        <v>0</v>
      </c>
    </row>
    <row r="277" spans="1:7" x14ac:dyDescent="0.2">
      <c r="A277" s="113">
        <v>200</v>
      </c>
      <c r="B277" t="s">
        <v>303</v>
      </c>
      <c r="C277" s="5">
        <v>44343</v>
      </c>
      <c r="D277" t="s">
        <v>124</v>
      </c>
      <c r="E277" s="18">
        <v>0</v>
      </c>
      <c r="F277" s="18">
        <v>0.34600342000000001</v>
      </c>
      <c r="G277" s="18">
        <v>0</v>
      </c>
    </row>
    <row r="278" spans="1:7" x14ac:dyDescent="0.2">
      <c r="A278" s="113">
        <v>103842</v>
      </c>
      <c r="B278" t="s">
        <v>304</v>
      </c>
      <c r="C278" s="5">
        <v>43812</v>
      </c>
      <c r="D278" t="s">
        <v>305</v>
      </c>
      <c r="E278" s="18">
        <v>0</v>
      </c>
      <c r="F278" s="18">
        <v>1.67094947</v>
      </c>
      <c r="G278" s="18">
        <v>0</v>
      </c>
    </row>
    <row r="279" spans="1:7" x14ac:dyDescent="0.2">
      <c r="A279" s="113">
        <v>262221</v>
      </c>
      <c r="B279" t="s">
        <v>306</v>
      </c>
      <c r="C279" s="5">
        <v>44030</v>
      </c>
      <c r="D279" t="s">
        <v>152</v>
      </c>
      <c r="E279" s="18">
        <v>0</v>
      </c>
      <c r="F279" s="18">
        <v>2.9719849999999999E-2</v>
      </c>
      <c r="G279" s="18">
        <v>0</v>
      </c>
    </row>
    <row r="280" spans="1:7" x14ac:dyDescent="0.2">
      <c r="A280" s="113">
        <v>1.78</v>
      </c>
      <c r="B280" t="s">
        <v>307</v>
      </c>
      <c r="C280" s="5">
        <v>44231</v>
      </c>
      <c r="D280" t="s">
        <v>150</v>
      </c>
      <c r="E280" s="18">
        <v>0</v>
      </c>
      <c r="F280" s="18">
        <v>0.10142244</v>
      </c>
      <c r="G280" s="18">
        <v>0</v>
      </c>
    </row>
    <row r="281" spans="1:7" x14ac:dyDescent="0.2">
      <c r="A281" s="113">
        <v>5.4342352900000002</v>
      </c>
      <c r="B281" t="s">
        <v>308</v>
      </c>
      <c r="C281" s="5">
        <v>44064</v>
      </c>
      <c r="D281" t="s">
        <v>147</v>
      </c>
      <c r="E281" s="18">
        <v>0</v>
      </c>
      <c r="F281" s="18">
        <v>3235.15920104</v>
      </c>
      <c r="G281" s="18">
        <v>0</v>
      </c>
    </row>
    <row r="282" spans="1:7" x14ac:dyDescent="0.2">
      <c r="A282" s="113">
        <v>8.3529279999999997E-2</v>
      </c>
      <c r="B282" t="s">
        <v>308</v>
      </c>
      <c r="C282" s="5">
        <v>44068</v>
      </c>
      <c r="D282" t="s">
        <v>124</v>
      </c>
      <c r="E282" s="18">
        <v>0</v>
      </c>
      <c r="F282" s="18">
        <v>3235.15920104</v>
      </c>
      <c r="G282" s="18">
        <v>0</v>
      </c>
    </row>
    <row r="283" spans="1:7" x14ac:dyDescent="0.2">
      <c r="A283" s="113">
        <v>3.5289094799999998</v>
      </c>
      <c r="B283" t="s">
        <v>308</v>
      </c>
      <c r="C283" s="5">
        <v>44079</v>
      </c>
      <c r="D283" t="s">
        <v>147</v>
      </c>
      <c r="E283" s="18">
        <v>0</v>
      </c>
      <c r="F283" s="18">
        <v>3235.15920104</v>
      </c>
      <c r="G283" s="18">
        <v>0</v>
      </c>
    </row>
    <row r="284" spans="1:7" x14ac:dyDescent="0.2">
      <c r="A284" s="113">
        <v>28.734471620000001</v>
      </c>
      <c r="B284" t="s">
        <v>308</v>
      </c>
      <c r="C284" s="5">
        <v>44085</v>
      </c>
      <c r="D284" t="s">
        <v>152</v>
      </c>
      <c r="E284" s="18">
        <v>0</v>
      </c>
      <c r="F284" s="18">
        <v>3235.15920104</v>
      </c>
      <c r="G284" s="18">
        <v>0</v>
      </c>
    </row>
    <row r="285" spans="1:7" x14ac:dyDescent="0.2">
      <c r="A285" s="113">
        <v>14.86789954</v>
      </c>
      <c r="B285" t="s">
        <v>308</v>
      </c>
      <c r="C285" s="5">
        <v>44086</v>
      </c>
      <c r="D285" t="s">
        <v>147</v>
      </c>
      <c r="E285" s="18">
        <v>0</v>
      </c>
      <c r="F285" s="18">
        <v>3235.15920104</v>
      </c>
      <c r="G285" s="18">
        <v>0</v>
      </c>
    </row>
    <row r="286" spans="1:7" x14ac:dyDescent="0.2">
      <c r="A286" s="113">
        <v>25</v>
      </c>
      <c r="B286" t="s">
        <v>308</v>
      </c>
      <c r="C286" s="5">
        <v>44089</v>
      </c>
      <c r="D286" t="s">
        <v>152</v>
      </c>
      <c r="E286" s="18">
        <v>0</v>
      </c>
      <c r="F286" s="18">
        <v>3235.15920104</v>
      </c>
      <c r="G286" s="18">
        <v>0</v>
      </c>
    </row>
    <row r="287" spans="1:7" x14ac:dyDescent="0.2">
      <c r="A287" s="113">
        <v>24.579718159999999</v>
      </c>
      <c r="B287" t="s">
        <v>308</v>
      </c>
      <c r="C287" s="5">
        <v>44092</v>
      </c>
      <c r="D287" t="s">
        <v>147</v>
      </c>
      <c r="E287" s="18">
        <v>0</v>
      </c>
      <c r="F287" s="18">
        <v>3235.15920104</v>
      </c>
      <c r="G287" s="18">
        <v>0</v>
      </c>
    </row>
    <row r="288" spans="1:7" x14ac:dyDescent="0.2">
      <c r="A288" s="113">
        <v>15.819427259999999</v>
      </c>
      <c r="B288" t="s">
        <v>308</v>
      </c>
      <c r="C288" s="5">
        <v>44092</v>
      </c>
      <c r="D288" t="s">
        <v>124</v>
      </c>
      <c r="E288" s="18">
        <v>0</v>
      </c>
      <c r="F288" s="18">
        <v>3235.15920104</v>
      </c>
      <c r="G288" s="18">
        <v>0</v>
      </c>
    </row>
    <row r="289" spans="1:7" x14ac:dyDescent="0.2">
      <c r="A289" s="113">
        <v>14.988277950000001</v>
      </c>
      <c r="B289" t="s">
        <v>308</v>
      </c>
      <c r="C289" s="5">
        <v>44092</v>
      </c>
      <c r="D289" t="s">
        <v>152</v>
      </c>
      <c r="E289" s="18">
        <v>0</v>
      </c>
      <c r="F289" s="18">
        <v>3235.15920104</v>
      </c>
      <c r="G289" s="18">
        <v>0</v>
      </c>
    </row>
    <row r="290" spans="1:7" x14ac:dyDescent="0.2">
      <c r="A290" s="113">
        <v>20.803953589999999</v>
      </c>
      <c r="B290" t="s">
        <v>308</v>
      </c>
      <c r="C290" s="5">
        <v>44093</v>
      </c>
      <c r="D290" t="s">
        <v>124</v>
      </c>
      <c r="E290" s="18">
        <v>0</v>
      </c>
      <c r="F290" s="18">
        <v>3235.15920104</v>
      </c>
      <c r="G290" s="18">
        <v>0</v>
      </c>
    </row>
    <row r="291" spans="1:7" x14ac:dyDescent="0.2">
      <c r="A291" s="113">
        <v>31.254400830000002</v>
      </c>
      <c r="B291" t="s">
        <v>308</v>
      </c>
      <c r="C291" s="5">
        <v>44094</v>
      </c>
      <c r="D291" t="s">
        <v>147</v>
      </c>
      <c r="E291" s="18">
        <v>0</v>
      </c>
      <c r="F291" s="18">
        <v>3235.15920104</v>
      </c>
      <c r="G291" s="18">
        <v>0</v>
      </c>
    </row>
    <row r="292" spans="1:7" x14ac:dyDescent="0.2">
      <c r="A292" s="113">
        <v>6.1437106400000001</v>
      </c>
      <c r="B292" t="s">
        <v>308</v>
      </c>
      <c r="C292" s="5">
        <v>44095</v>
      </c>
      <c r="D292" t="s">
        <v>152</v>
      </c>
      <c r="E292" s="18">
        <v>0</v>
      </c>
      <c r="F292" s="18">
        <v>3235.15920104</v>
      </c>
      <c r="G292" s="18">
        <v>0</v>
      </c>
    </row>
    <row r="293" spans="1:7" x14ac:dyDescent="0.2">
      <c r="A293" s="113">
        <v>7.5233936000000003</v>
      </c>
      <c r="B293" t="s">
        <v>308</v>
      </c>
      <c r="C293" s="5">
        <v>44095</v>
      </c>
      <c r="D293" t="s">
        <v>147</v>
      </c>
      <c r="E293" s="18">
        <v>0</v>
      </c>
      <c r="F293" s="18">
        <v>3235.15920104</v>
      </c>
      <c r="G293" s="18">
        <v>0</v>
      </c>
    </row>
    <row r="294" spans="1:7" x14ac:dyDescent="0.2">
      <c r="A294" s="113">
        <v>27.010529999999999</v>
      </c>
      <c r="B294" t="s">
        <v>308</v>
      </c>
      <c r="C294" s="5">
        <v>44096</v>
      </c>
      <c r="D294" t="s">
        <v>150</v>
      </c>
      <c r="E294" s="18">
        <v>0</v>
      </c>
      <c r="F294" s="18">
        <v>3235.15920104</v>
      </c>
      <c r="G294" s="18">
        <v>0</v>
      </c>
    </row>
    <row r="295" spans="1:7" x14ac:dyDescent="0.2">
      <c r="A295" s="113">
        <v>0.6</v>
      </c>
      <c r="B295" t="s">
        <v>308</v>
      </c>
      <c r="C295" s="5">
        <v>44096</v>
      </c>
      <c r="D295" t="s">
        <v>132</v>
      </c>
      <c r="E295" s="18">
        <v>0</v>
      </c>
      <c r="F295" s="18">
        <v>3235.15920104</v>
      </c>
      <c r="G295" s="18">
        <v>0</v>
      </c>
    </row>
    <row r="296" spans="1:7" x14ac:dyDescent="0.2">
      <c r="A296" s="113">
        <v>49.895898590000002</v>
      </c>
      <c r="B296" t="s">
        <v>308</v>
      </c>
      <c r="C296" s="5">
        <v>44103</v>
      </c>
      <c r="D296" t="s">
        <v>152</v>
      </c>
      <c r="E296" s="18">
        <v>0</v>
      </c>
      <c r="F296" s="18">
        <v>3235.15920104</v>
      </c>
      <c r="G296" s="18">
        <v>0</v>
      </c>
    </row>
    <row r="297" spans="1:7" x14ac:dyDescent="0.2">
      <c r="A297" s="113">
        <v>40.920881600000001</v>
      </c>
      <c r="B297" t="s">
        <v>308</v>
      </c>
      <c r="C297" s="5">
        <v>44105</v>
      </c>
      <c r="D297" t="s">
        <v>152</v>
      </c>
      <c r="E297" s="18">
        <v>0</v>
      </c>
      <c r="F297" s="18">
        <v>3235.15920104</v>
      </c>
      <c r="G297" s="18">
        <v>0</v>
      </c>
    </row>
    <row r="298" spans="1:7" x14ac:dyDescent="0.2">
      <c r="A298" s="113">
        <v>38.427875700000001</v>
      </c>
      <c r="B298" t="s">
        <v>308</v>
      </c>
      <c r="C298" s="5">
        <v>44106</v>
      </c>
      <c r="D298" t="s">
        <v>147</v>
      </c>
      <c r="E298" s="18">
        <v>0</v>
      </c>
      <c r="F298" s="18">
        <v>3235.15920104</v>
      </c>
      <c r="G298" s="18">
        <v>0</v>
      </c>
    </row>
    <row r="299" spans="1:7" x14ac:dyDescent="0.2">
      <c r="A299" s="113">
        <v>9.2638632100000002</v>
      </c>
      <c r="B299" t="s">
        <v>308</v>
      </c>
      <c r="C299" s="5">
        <v>44120</v>
      </c>
      <c r="D299" t="s">
        <v>147</v>
      </c>
      <c r="E299" s="18">
        <v>0</v>
      </c>
      <c r="F299" s="18">
        <v>3235.15920104</v>
      </c>
      <c r="G299" s="18">
        <v>0</v>
      </c>
    </row>
    <row r="300" spans="1:7" x14ac:dyDescent="0.2">
      <c r="A300" s="113">
        <v>1.7524319900000001</v>
      </c>
      <c r="B300" t="s">
        <v>308</v>
      </c>
      <c r="C300" s="5">
        <v>44132</v>
      </c>
      <c r="D300" t="s">
        <v>147</v>
      </c>
      <c r="E300" s="18">
        <v>0</v>
      </c>
      <c r="F300" s="18">
        <v>3235.15920104</v>
      </c>
      <c r="G300" s="18">
        <v>0</v>
      </c>
    </row>
    <row r="301" spans="1:7" x14ac:dyDescent="0.2">
      <c r="A301" s="113">
        <v>9.4212962000000005</v>
      </c>
      <c r="B301" t="s">
        <v>308</v>
      </c>
      <c r="C301" s="5">
        <v>44148</v>
      </c>
      <c r="D301" t="s">
        <v>147</v>
      </c>
      <c r="E301" s="18">
        <v>0</v>
      </c>
      <c r="F301" s="18">
        <v>3235.15920104</v>
      </c>
      <c r="G301" s="18">
        <v>0</v>
      </c>
    </row>
    <row r="302" spans="1:7" x14ac:dyDescent="0.2">
      <c r="A302" s="113">
        <v>16.084097379999999</v>
      </c>
      <c r="B302" t="s">
        <v>308</v>
      </c>
      <c r="C302" s="5">
        <v>44148</v>
      </c>
      <c r="D302" t="s">
        <v>152</v>
      </c>
      <c r="E302" s="18">
        <v>0</v>
      </c>
      <c r="F302" s="18">
        <v>3235.15920104</v>
      </c>
      <c r="G302" s="18">
        <v>0</v>
      </c>
    </row>
    <row r="303" spans="1:7" x14ac:dyDescent="0.2">
      <c r="A303" s="113">
        <v>0.39065517</v>
      </c>
      <c r="B303" t="s">
        <v>308</v>
      </c>
      <c r="C303" s="5">
        <v>44157</v>
      </c>
      <c r="D303" t="s">
        <v>152</v>
      </c>
      <c r="E303" s="18">
        <v>0</v>
      </c>
      <c r="F303" s="18">
        <v>3235.15920104</v>
      </c>
      <c r="G303" s="18">
        <v>0</v>
      </c>
    </row>
    <row r="304" spans="1:7" x14ac:dyDescent="0.2">
      <c r="A304" s="113">
        <v>17.75259363</v>
      </c>
      <c r="B304" t="s">
        <v>308</v>
      </c>
      <c r="C304" s="5">
        <v>44158</v>
      </c>
      <c r="D304" t="s">
        <v>152</v>
      </c>
      <c r="E304" s="18">
        <v>0</v>
      </c>
      <c r="F304" s="18">
        <v>3235.15920104</v>
      </c>
      <c r="G304" s="18">
        <v>0</v>
      </c>
    </row>
    <row r="305" spans="1:7" x14ac:dyDescent="0.2">
      <c r="A305" s="113">
        <v>8.2149400000000004E-3</v>
      </c>
      <c r="B305" t="s">
        <v>308</v>
      </c>
      <c r="C305" s="5">
        <v>44160</v>
      </c>
      <c r="D305" t="s">
        <v>152</v>
      </c>
      <c r="E305" s="18">
        <v>0</v>
      </c>
      <c r="F305" s="18">
        <v>3235.15920104</v>
      </c>
      <c r="G305" s="18">
        <v>0</v>
      </c>
    </row>
    <row r="306" spans="1:7" x14ac:dyDescent="0.2">
      <c r="A306" s="113">
        <v>0.36508576999999998</v>
      </c>
      <c r="B306" t="s">
        <v>308</v>
      </c>
      <c r="C306" s="5">
        <v>44168</v>
      </c>
      <c r="D306" t="s">
        <v>152</v>
      </c>
      <c r="E306" s="18">
        <v>0</v>
      </c>
      <c r="F306" s="18">
        <v>3235.15920104</v>
      </c>
      <c r="G306" s="18">
        <v>0</v>
      </c>
    </row>
    <row r="307" spans="1:7" x14ac:dyDescent="0.2">
      <c r="A307" s="113">
        <v>20</v>
      </c>
      <c r="B307" t="s">
        <v>308</v>
      </c>
      <c r="C307" s="5">
        <v>44176</v>
      </c>
      <c r="D307" t="s">
        <v>132</v>
      </c>
      <c r="E307" s="18">
        <v>0</v>
      </c>
      <c r="F307" s="18">
        <v>3235.15920104</v>
      </c>
      <c r="G307" s="18">
        <v>0</v>
      </c>
    </row>
    <row r="308" spans="1:7" x14ac:dyDescent="0.2">
      <c r="A308" s="113">
        <v>0.60188602999999996</v>
      </c>
      <c r="B308" t="s">
        <v>308</v>
      </c>
      <c r="C308" s="5">
        <v>44178</v>
      </c>
      <c r="D308" t="s">
        <v>152</v>
      </c>
      <c r="E308" s="18">
        <v>0</v>
      </c>
      <c r="F308" s="18">
        <v>3235.15920104</v>
      </c>
      <c r="G308" s="18">
        <v>0</v>
      </c>
    </row>
    <row r="309" spans="1:7" x14ac:dyDescent="0.2">
      <c r="A309" s="113">
        <v>48</v>
      </c>
      <c r="B309" t="s">
        <v>308</v>
      </c>
      <c r="C309" s="5">
        <v>44187</v>
      </c>
      <c r="D309" t="s">
        <v>132</v>
      </c>
      <c r="E309" s="18">
        <v>0</v>
      </c>
      <c r="F309" s="18">
        <v>3235.15920104</v>
      </c>
      <c r="G309" s="18">
        <v>0</v>
      </c>
    </row>
    <row r="310" spans="1:7" x14ac:dyDescent="0.2">
      <c r="A310" s="113">
        <v>20</v>
      </c>
      <c r="B310" t="s">
        <v>308</v>
      </c>
      <c r="C310" s="5">
        <v>44189</v>
      </c>
      <c r="D310" t="s">
        <v>132</v>
      </c>
      <c r="E310" s="18">
        <v>0</v>
      </c>
      <c r="F310" s="18">
        <v>3235.15920104</v>
      </c>
      <c r="G310" s="18">
        <v>0</v>
      </c>
    </row>
    <row r="311" spans="1:7" x14ac:dyDescent="0.2">
      <c r="A311" s="113">
        <v>1.1328416100000001</v>
      </c>
      <c r="B311" t="s">
        <v>308</v>
      </c>
      <c r="C311" s="5">
        <v>44196</v>
      </c>
      <c r="D311" t="s">
        <v>152</v>
      </c>
      <c r="E311" s="18">
        <v>0</v>
      </c>
      <c r="F311" s="18">
        <v>3235.15920104</v>
      </c>
      <c r="G311" s="18">
        <v>0</v>
      </c>
    </row>
    <row r="312" spans="1:7" x14ac:dyDescent="0.2">
      <c r="A312" s="113">
        <v>11.727601630000001</v>
      </c>
      <c r="B312" t="s">
        <v>308</v>
      </c>
      <c r="C312" s="5">
        <v>44207</v>
      </c>
      <c r="D312" t="s">
        <v>152</v>
      </c>
      <c r="E312" s="18">
        <v>0</v>
      </c>
      <c r="F312" s="18">
        <v>3235.15920104</v>
      </c>
      <c r="G312" s="18">
        <v>0</v>
      </c>
    </row>
    <row r="313" spans="1:7" x14ac:dyDescent="0.2">
      <c r="A313" s="113">
        <v>2.4358812900000002</v>
      </c>
      <c r="B313" t="s">
        <v>308</v>
      </c>
      <c r="C313" s="5">
        <v>44214</v>
      </c>
      <c r="D313" t="s">
        <v>147</v>
      </c>
      <c r="E313" s="18">
        <v>0</v>
      </c>
      <c r="F313" s="18">
        <v>3235.15920104</v>
      </c>
      <c r="G313" s="18">
        <v>0</v>
      </c>
    </row>
    <row r="314" spans="1:7" x14ac:dyDescent="0.2">
      <c r="A314" s="113">
        <v>5.8983181699999996</v>
      </c>
      <c r="B314" t="s">
        <v>308</v>
      </c>
      <c r="C314" s="5">
        <v>44217</v>
      </c>
      <c r="D314" t="s">
        <v>124</v>
      </c>
      <c r="E314" s="18">
        <v>0</v>
      </c>
      <c r="F314" s="18">
        <v>3235.15920104</v>
      </c>
      <c r="G314" s="18">
        <v>0</v>
      </c>
    </row>
    <row r="315" spans="1:7" x14ac:dyDescent="0.2">
      <c r="A315" s="113">
        <v>4.2489176999999998</v>
      </c>
      <c r="B315" t="s">
        <v>308</v>
      </c>
      <c r="C315" s="5">
        <v>44221</v>
      </c>
      <c r="D315" t="s">
        <v>152</v>
      </c>
      <c r="E315" s="18">
        <v>0</v>
      </c>
      <c r="F315" s="18">
        <v>3235.15920104</v>
      </c>
      <c r="G315" s="18">
        <v>0</v>
      </c>
    </row>
    <row r="316" spans="1:7" x14ac:dyDescent="0.2">
      <c r="A316" s="113">
        <v>8.1824152300000002</v>
      </c>
      <c r="B316" t="s">
        <v>308</v>
      </c>
      <c r="C316" s="5">
        <v>44225</v>
      </c>
      <c r="D316" t="s">
        <v>124</v>
      </c>
      <c r="E316" s="18">
        <v>0</v>
      </c>
      <c r="F316" s="18">
        <v>3235.15920104</v>
      </c>
      <c r="G316" s="18">
        <v>0</v>
      </c>
    </row>
    <row r="317" spans="1:7" x14ac:dyDescent="0.2">
      <c r="A317" s="113">
        <v>3.3346185899999998</v>
      </c>
      <c r="B317" t="s">
        <v>308</v>
      </c>
      <c r="C317" s="5">
        <v>44225</v>
      </c>
      <c r="D317" t="s">
        <v>152</v>
      </c>
      <c r="E317" s="18">
        <v>0</v>
      </c>
      <c r="F317" s="18">
        <v>3235.15920104</v>
      </c>
      <c r="G317" s="18">
        <v>0</v>
      </c>
    </row>
    <row r="318" spans="1:7" x14ac:dyDescent="0.2">
      <c r="A318" s="113">
        <v>10.724550730000001</v>
      </c>
      <c r="B318" t="s">
        <v>308</v>
      </c>
      <c r="C318" s="5">
        <v>44226</v>
      </c>
      <c r="D318" t="s">
        <v>152</v>
      </c>
      <c r="E318" s="18">
        <v>0</v>
      </c>
      <c r="F318" s="18">
        <v>3235.15920104</v>
      </c>
      <c r="G318" s="18">
        <v>0</v>
      </c>
    </row>
    <row r="319" spans="1:7" x14ac:dyDescent="0.2">
      <c r="A319" s="113">
        <v>7.79202276</v>
      </c>
      <c r="B319" t="s">
        <v>308</v>
      </c>
      <c r="C319" s="5">
        <v>44227</v>
      </c>
      <c r="D319" t="s">
        <v>147</v>
      </c>
      <c r="E319" s="18">
        <v>0</v>
      </c>
      <c r="F319" s="18">
        <v>3235.15920104</v>
      </c>
      <c r="G319" s="18">
        <v>0</v>
      </c>
    </row>
    <row r="320" spans="1:7" x14ac:dyDescent="0.2">
      <c r="A320" s="113">
        <v>3.9405290100000001</v>
      </c>
      <c r="B320" t="s">
        <v>308</v>
      </c>
      <c r="C320" s="5">
        <v>44228</v>
      </c>
      <c r="D320" t="s">
        <v>152</v>
      </c>
      <c r="E320" s="18">
        <v>0</v>
      </c>
      <c r="F320" s="18">
        <v>3235.15920104</v>
      </c>
      <c r="G320" s="18">
        <v>0</v>
      </c>
    </row>
    <row r="321" spans="1:7" x14ac:dyDescent="0.2">
      <c r="A321" s="113">
        <v>7.3833987199999997</v>
      </c>
      <c r="B321" t="s">
        <v>308</v>
      </c>
      <c r="C321" s="5">
        <v>44232</v>
      </c>
      <c r="D321" t="s">
        <v>152</v>
      </c>
      <c r="E321" s="18">
        <v>0</v>
      </c>
      <c r="F321" s="18">
        <v>3235.15920104</v>
      </c>
      <c r="G321" s="18">
        <v>0</v>
      </c>
    </row>
    <row r="322" spans="1:7" x14ac:dyDescent="0.2">
      <c r="A322" s="113">
        <v>0.17632693999999999</v>
      </c>
      <c r="B322" t="s">
        <v>308</v>
      </c>
      <c r="C322" s="5">
        <v>44234</v>
      </c>
      <c r="D322" t="s">
        <v>189</v>
      </c>
      <c r="E322" s="18">
        <v>0</v>
      </c>
      <c r="F322" s="18">
        <v>3235.15920104</v>
      </c>
      <c r="G322" s="18">
        <v>0</v>
      </c>
    </row>
    <row r="323" spans="1:7" x14ac:dyDescent="0.2">
      <c r="A323" s="113">
        <v>7.8518631000000001</v>
      </c>
      <c r="B323" t="s">
        <v>308</v>
      </c>
      <c r="C323" s="5">
        <v>44234</v>
      </c>
      <c r="D323" t="s">
        <v>152</v>
      </c>
      <c r="E323" s="18">
        <v>0</v>
      </c>
      <c r="F323" s="18">
        <v>3235.15920104</v>
      </c>
      <c r="G323" s="18">
        <v>0</v>
      </c>
    </row>
    <row r="324" spans="1:7" x14ac:dyDescent="0.2">
      <c r="A324" s="113">
        <v>1.49512848</v>
      </c>
      <c r="B324" t="s">
        <v>308</v>
      </c>
      <c r="C324" s="5">
        <v>44239</v>
      </c>
      <c r="D324" t="s">
        <v>147</v>
      </c>
      <c r="E324" s="18">
        <v>0</v>
      </c>
      <c r="F324" s="18">
        <v>3235.15920104</v>
      </c>
      <c r="G324" s="18">
        <v>0</v>
      </c>
    </row>
    <row r="325" spans="1:7" x14ac:dyDescent="0.2">
      <c r="A325" s="113">
        <v>12.559575860000001</v>
      </c>
      <c r="B325" t="s">
        <v>308</v>
      </c>
      <c r="C325" s="5">
        <v>44243</v>
      </c>
      <c r="D325" t="s">
        <v>152</v>
      </c>
      <c r="E325" s="18">
        <v>0</v>
      </c>
      <c r="F325" s="18">
        <v>3235.15920104</v>
      </c>
      <c r="G325" s="18">
        <v>0</v>
      </c>
    </row>
    <row r="326" spans="1:7" x14ac:dyDescent="0.2">
      <c r="A326" s="113">
        <v>14.26559445</v>
      </c>
      <c r="B326" t="s">
        <v>308</v>
      </c>
      <c r="C326" s="5">
        <v>44245</v>
      </c>
      <c r="D326" t="s">
        <v>147</v>
      </c>
      <c r="E326" s="18">
        <v>0</v>
      </c>
      <c r="F326" s="18">
        <v>3235.15920104</v>
      </c>
      <c r="G326" s="18">
        <v>0</v>
      </c>
    </row>
    <row r="327" spans="1:7" x14ac:dyDescent="0.2">
      <c r="A327" s="113">
        <v>0.50880431999999998</v>
      </c>
      <c r="B327" t="s">
        <v>308</v>
      </c>
      <c r="C327" s="5">
        <v>44248</v>
      </c>
      <c r="D327" t="s">
        <v>152</v>
      </c>
      <c r="E327" s="18">
        <v>0</v>
      </c>
      <c r="F327" s="18">
        <v>3235.15920104</v>
      </c>
      <c r="G327" s="18">
        <v>0</v>
      </c>
    </row>
    <row r="328" spans="1:7" x14ac:dyDescent="0.2">
      <c r="A328" s="113">
        <v>15.46170856</v>
      </c>
      <c r="B328" t="s">
        <v>308</v>
      </c>
      <c r="C328" s="5">
        <v>44250</v>
      </c>
      <c r="D328" t="s">
        <v>152</v>
      </c>
      <c r="E328" s="18">
        <v>0</v>
      </c>
      <c r="F328" s="18">
        <v>3235.15920104</v>
      </c>
      <c r="G328" s="18">
        <v>0</v>
      </c>
    </row>
    <row r="329" spans="1:7" x14ac:dyDescent="0.2">
      <c r="A329" s="113">
        <v>8.3639057900000005</v>
      </c>
      <c r="B329" t="s">
        <v>308</v>
      </c>
      <c r="C329" s="5">
        <v>44251</v>
      </c>
      <c r="D329" t="s">
        <v>147</v>
      </c>
      <c r="E329" s="18">
        <v>0</v>
      </c>
      <c r="F329" s="18">
        <v>3235.15920104</v>
      </c>
      <c r="G329" s="18">
        <v>0</v>
      </c>
    </row>
    <row r="330" spans="1:7" x14ac:dyDescent="0.2">
      <c r="A330" s="113">
        <v>14.2325847</v>
      </c>
      <c r="B330" t="s">
        <v>308</v>
      </c>
      <c r="C330" s="5">
        <v>44255</v>
      </c>
      <c r="D330" t="s">
        <v>152</v>
      </c>
      <c r="E330" s="18">
        <v>0</v>
      </c>
      <c r="F330" s="18">
        <v>3235.15920104</v>
      </c>
      <c r="G330" s="18">
        <v>0</v>
      </c>
    </row>
    <row r="331" spans="1:7" x14ac:dyDescent="0.2">
      <c r="A331" s="113">
        <v>6.5996913800000003</v>
      </c>
      <c r="B331" t="s">
        <v>308</v>
      </c>
      <c r="C331" s="5">
        <v>44255</v>
      </c>
      <c r="D331" t="s">
        <v>124</v>
      </c>
      <c r="E331" s="18">
        <v>0</v>
      </c>
      <c r="F331" s="18">
        <v>3235.15920104</v>
      </c>
      <c r="G331" s="18">
        <v>0</v>
      </c>
    </row>
    <row r="332" spans="1:7" x14ac:dyDescent="0.2">
      <c r="A332" s="113">
        <v>6.4243094300000001</v>
      </c>
      <c r="B332" t="s">
        <v>308</v>
      </c>
      <c r="C332" s="5">
        <v>44256</v>
      </c>
      <c r="D332" t="s">
        <v>152</v>
      </c>
      <c r="E332" s="18">
        <v>0</v>
      </c>
      <c r="F332" s="18">
        <v>3235.15920104</v>
      </c>
      <c r="G332" s="18">
        <v>0</v>
      </c>
    </row>
    <row r="333" spans="1:7" x14ac:dyDescent="0.2">
      <c r="A333" s="113">
        <v>20.107241590000001</v>
      </c>
      <c r="B333" t="s">
        <v>308</v>
      </c>
      <c r="C333" s="5">
        <v>44256</v>
      </c>
      <c r="D333" t="s">
        <v>147</v>
      </c>
      <c r="E333" s="18">
        <v>0</v>
      </c>
      <c r="F333" s="18">
        <v>3235.15920104</v>
      </c>
      <c r="G333" s="18">
        <v>0</v>
      </c>
    </row>
    <row r="334" spans="1:7" x14ac:dyDescent="0.2">
      <c r="A334" s="113">
        <v>6.71475752</v>
      </c>
      <c r="B334" t="s">
        <v>308</v>
      </c>
      <c r="C334" s="5">
        <v>44258</v>
      </c>
      <c r="D334" t="s">
        <v>152</v>
      </c>
      <c r="E334" s="18">
        <v>0</v>
      </c>
      <c r="F334" s="18">
        <v>3235.15920104</v>
      </c>
      <c r="G334" s="18">
        <v>0</v>
      </c>
    </row>
    <row r="335" spans="1:7" x14ac:dyDescent="0.2">
      <c r="A335" s="113">
        <v>19.646664229999999</v>
      </c>
      <c r="B335" t="s">
        <v>308</v>
      </c>
      <c r="C335" s="5">
        <v>44259</v>
      </c>
      <c r="D335" t="s">
        <v>152</v>
      </c>
      <c r="E335" s="18">
        <v>0</v>
      </c>
      <c r="F335" s="18">
        <v>3235.15920104</v>
      </c>
      <c r="G335" s="18">
        <v>0</v>
      </c>
    </row>
    <row r="336" spans="1:7" x14ac:dyDescent="0.2">
      <c r="A336" s="113">
        <v>5.4537879199999999</v>
      </c>
      <c r="B336" t="s">
        <v>308</v>
      </c>
      <c r="C336" s="5">
        <v>44260</v>
      </c>
      <c r="D336" t="s">
        <v>152</v>
      </c>
      <c r="E336" s="18">
        <v>0</v>
      </c>
      <c r="F336" s="18">
        <v>3235.15920104</v>
      </c>
      <c r="G336" s="18">
        <v>0</v>
      </c>
    </row>
    <row r="337" spans="1:7" x14ac:dyDescent="0.2">
      <c r="A337" s="113">
        <v>5.6192442500000004</v>
      </c>
      <c r="B337" t="s">
        <v>308</v>
      </c>
      <c r="C337" s="5">
        <v>44261</v>
      </c>
      <c r="D337" t="s">
        <v>152</v>
      </c>
      <c r="E337" s="18">
        <v>0</v>
      </c>
      <c r="F337" s="18">
        <v>3235.15920104</v>
      </c>
      <c r="G337" s="18">
        <v>0</v>
      </c>
    </row>
    <row r="338" spans="1:7" x14ac:dyDescent="0.2">
      <c r="A338" s="113">
        <v>6.2183062900000001</v>
      </c>
      <c r="B338" t="s">
        <v>308</v>
      </c>
      <c r="C338" s="5">
        <v>44262</v>
      </c>
      <c r="D338" t="s">
        <v>124</v>
      </c>
      <c r="E338" s="18">
        <v>0</v>
      </c>
      <c r="F338" s="18">
        <v>3235.15920104</v>
      </c>
      <c r="G338" s="18">
        <v>0</v>
      </c>
    </row>
    <row r="339" spans="1:7" x14ac:dyDescent="0.2">
      <c r="A339" s="113">
        <v>12.449387720000001</v>
      </c>
      <c r="B339" t="s">
        <v>308</v>
      </c>
      <c r="C339" s="5">
        <v>44265</v>
      </c>
      <c r="D339" t="s">
        <v>152</v>
      </c>
      <c r="E339" s="18">
        <v>0</v>
      </c>
      <c r="F339" s="18">
        <v>3235.15920104</v>
      </c>
      <c r="G339" s="18">
        <v>0</v>
      </c>
    </row>
    <row r="340" spans="1:7" x14ac:dyDescent="0.2">
      <c r="A340" s="113">
        <v>0.22305599000000001</v>
      </c>
      <c r="B340" t="s">
        <v>308</v>
      </c>
      <c r="C340" s="5">
        <v>44266</v>
      </c>
      <c r="D340" t="s">
        <v>152</v>
      </c>
      <c r="E340" s="18">
        <v>0</v>
      </c>
      <c r="F340" s="18">
        <v>3235.15920104</v>
      </c>
      <c r="G340" s="18">
        <v>0</v>
      </c>
    </row>
    <row r="341" spans="1:7" x14ac:dyDescent="0.2">
      <c r="A341" s="113">
        <v>39.349107930000002</v>
      </c>
      <c r="B341" t="s">
        <v>308</v>
      </c>
      <c r="C341" s="5">
        <v>44274</v>
      </c>
      <c r="D341" t="s">
        <v>166</v>
      </c>
      <c r="E341" s="18">
        <v>0</v>
      </c>
      <c r="F341" s="18">
        <v>3235.15920104</v>
      </c>
      <c r="G341" s="18">
        <v>0</v>
      </c>
    </row>
    <row r="342" spans="1:7" x14ac:dyDescent="0.2">
      <c r="A342" s="113">
        <v>24.105699820000002</v>
      </c>
      <c r="B342" t="s">
        <v>308</v>
      </c>
      <c r="C342" s="5">
        <v>44279</v>
      </c>
      <c r="D342" t="s">
        <v>172</v>
      </c>
      <c r="E342" s="18">
        <v>0</v>
      </c>
      <c r="F342" s="18">
        <v>3235.15920104</v>
      </c>
      <c r="G342" s="18">
        <v>0</v>
      </c>
    </row>
    <row r="343" spans="1:7" x14ac:dyDescent="0.2">
      <c r="A343" s="113">
        <v>99.953754180000004</v>
      </c>
      <c r="B343" t="s">
        <v>308</v>
      </c>
      <c r="C343" s="5">
        <v>44279</v>
      </c>
      <c r="D343" t="s">
        <v>166</v>
      </c>
      <c r="E343" s="18">
        <v>0</v>
      </c>
      <c r="F343" s="18">
        <v>3235.15920104</v>
      </c>
      <c r="G343" s="18">
        <v>0</v>
      </c>
    </row>
    <row r="344" spans="1:7" x14ac:dyDescent="0.2">
      <c r="A344" s="113">
        <v>26.671875270000001</v>
      </c>
      <c r="B344" t="s">
        <v>308</v>
      </c>
      <c r="C344" s="5">
        <v>44279</v>
      </c>
      <c r="D344" t="s">
        <v>152</v>
      </c>
      <c r="E344" s="18">
        <v>0</v>
      </c>
      <c r="F344" s="18">
        <v>3235.15920104</v>
      </c>
      <c r="G344" s="18">
        <v>0</v>
      </c>
    </row>
    <row r="345" spans="1:7" x14ac:dyDescent="0.2">
      <c r="A345" s="113">
        <v>24.911025649999999</v>
      </c>
      <c r="B345" t="s">
        <v>308</v>
      </c>
      <c r="C345" s="5">
        <v>44288</v>
      </c>
      <c r="D345" t="s">
        <v>152</v>
      </c>
      <c r="E345" s="18">
        <v>0</v>
      </c>
      <c r="F345" s="18">
        <v>3235.15920104</v>
      </c>
      <c r="G345" s="18">
        <v>0</v>
      </c>
    </row>
    <row r="346" spans="1:7" x14ac:dyDescent="0.2">
      <c r="A346" s="113">
        <v>5.1973940699999996</v>
      </c>
      <c r="B346" t="s">
        <v>308</v>
      </c>
      <c r="C346" s="5">
        <v>44308</v>
      </c>
      <c r="D346" t="s">
        <v>124</v>
      </c>
      <c r="E346" s="18">
        <v>0</v>
      </c>
      <c r="F346" s="18">
        <v>3235.15920104</v>
      </c>
      <c r="G346" s="18">
        <v>0</v>
      </c>
    </row>
    <row r="347" spans="1:7" x14ac:dyDescent="0.2">
      <c r="A347" s="113">
        <v>20</v>
      </c>
      <c r="B347" t="s">
        <v>308</v>
      </c>
      <c r="C347" s="5">
        <v>44309</v>
      </c>
      <c r="D347" t="s">
        <v>132</v>
      </c>
      <c r="E347" s="18">
        <v>0</v>
      </c>
      <c r="F347" s="18">
        <v>3235.15920104</v>
      </c>
      <c r="G347" s="18">
        <v>0</v>
      </c>
    </row>
    <row r="348" spans="1:7" x14ac:dyDescent="0.2">
      <c r="A348" s="113">
        <v>37.717526599999999</v>
      </c>
      <c r="B348" t="s">
        <v>308</v>
      </c>
      <c r="C348" s="5">
        <v>44317</v>
      </c>
      <c r="D348" t="s">
        <v>152</v>
      </c>
      <c r="E348" s="18">
        <v>0</v>
      </c>
      <c r="F348" s="18">
        <v>3235.15920104</v>
      </c>
      <c r="G348" s="18">
        <v>0</v>
      </c>
    </row>
    <row r="349" spans="1:7" x14ac:dyDescent="0.2">
      <c r="A349" s="113">
        <v>5.6588580500000001</v>
      </c>
      <c r="B349" t="s">
        <v>308</v>
      </c>
      <c r="C349" s="5">
        <v>44320</v>
      </c>
      <c r="D349" t="s">
        <v>166</v>
      </c>
      <c r="E349" s="18">
        <v>0</v>
      </c>
      <c r="F349" s="18">
        <v>3235.15920104</v>
      </c>
      <c r="G349" s="18">
        <v>0</v>
      </c>
    </row>
    <row r="350" spans="1:7" x14ac:dyDescent="0.2">
      <c r="A350" s="113">
        <v>9.3956599300000008</v>
      </c>
      <c r="B350" t="s">
        <v>308</v>
      </c>
      <c r="C350" s="5">
        <v>44320</v>
      </c>
      <c r="D350" t="s">
        <v>152</v>
      </c>
      <c r="E350" s="18">
        <v>0</v>
      </c>
      <c r="F350" s="18">
        <v>3235.15920104</v>
      </c>
      <c r="G350" s="18">
        <v>0</v>
      </c>
    </row>
    <row r="351" spans="1:7" x14ac:dyDescent="0.2">
      <c r="A351" s="113">
        <v>35.335022809999998</v>
      </c>
      <c r="B351" t="s">
        <v>308</v>
      </c>
      <c r="C351" s="5">
        <v>44325</v>
      </c>
      <c r="D351" t="s">
        <v>152</v>
      </c>
      <c r="E351" s="18">
        <v>0</v>
      </c>
      <c r="F351" s="18">
        <v>3235.15920104</v>
      </c>
      <c r="G351" s="18">
        <v>0</v>
      </c>
    </row>
    <row r="352" spans="1:7" x14ac:dyDescent="0.2">
      <c r="A352" s="113">
        <v>4.0590818999999998</v>
      </c>
      <c r="B352" t="s">
        <v>308</v>
      </c>
      <c r="C352" s="5">
        <v>44329</v>
      </c>
      <c r="D352" t="s">
        <v>152</v>
      </c>
      <c r="E352" s="18">
        <v>0</v>
      </c>
      <c r="F352" s="18">
        <v>3235.15920104</v>
      </c>
      <c r="G352" s="18">
        <v>0</v>
      </c>
    </row>
    <row r="353" spans="1:7" x14ac:dyDescent="0.2">
      <c r="A353" s="113">
        <v>62.250511009999997</v>
      </c>
      <c r="B353" t="s">
        <v>308</v>
      </c>
      <c r="C353" s="5">
        <v>44335</v>
      </c>
      <c r="D353" t="s">
        <v>124</v>
      </c>
      <c r="E353" s="18">
        <v>0</v>
      </c>
      <c r="F353" s="18">
        <v>3235.15920104</v>
      </c>
      <c r="G353" s="18">
        <v>0</v>
      </c>
    </row>
    <row r="354" spans="1:7" x14ac:dyDescent="0.2">
      <c r="A354" s="113">
        <v>12.61251891</v>
      </c>
      <c r="B354" t="s">
        <v>308</v>
      </c>
      <c r="C354" s="5">
        <v>44335</v>
      </c>
      <c r="D354" t="s">
        <v>166</v>
      </c>
      <c r="E354" s="18">
        <v>0</v>
      </c>
      <c r="F354" s="18">
        <v>3235.15920104</v>
      </c>
      <c r="G354" s="18">
        <v>0</v>
      </c>
    </row>
    <row r="355" spans="1:7" x14ac:dyDescent="0.2">
      <c r="A355" s="113">
        <v>44.972604330000003</v>
      </c>
      <c r="B355" t="s">
        <v>308</v>
      </c>
      <c r="C355" s="5">
        <v>44335</v>
      </c>
      <c r="D355" t="s">
        <v>152</v>
      </c>
      <c r="E355" s="18">
        <v>0</v>
      </c>
      <c r="F355" s="18">
        <v>3235.15920104</v>
      </c>
      <c r="G355" s="18">
        <v>0</v>
      </c>
    </row>
    <row r="356" spans="1:7" x14ac:dyDescent="0.2">
      <c r="A356" s="113">
        <v>15</v>
      </c>
      <c r="B356" t="s">
        <v>308</v>
      </c>
      <c r="C356" s="5">
        <v>44355</v>
      </c>
      <c r="D356" t="s">
        <v>132</v>
      </c>
      <c r="E356" s="18">
        <v>0</v>
      </c>
      <c r="F356" s="18">
        <v>3235.15920104</v>
      </c>
      <c r="G356" s="18">
        <v>0</v>
      </c>
    </row>
    <row r="357" spans="1:7" x14ac:dyDescent="0.2">
      <c r="A357" s="113">
        <v>50</v>
      </c>
      <c r="B357" t="s">
        <v>308</v>
      </c>
      <c r="C357" s="5">
        <v>44369</v>
      </c>
      <c r="D357" t="s">
        <v>132</v>
      </c>
      <c r="E357" s="18">
        <v>0</v>
      </c>
      <c r="F357" s="18">
        <v>3235.15920104</v>
      </c>
      <c r="G357" s="18">
        <v>0</v>
      </c>
    </row>
    <row r="358" spans="1:7" x14ac:dyDescent="0.2">
      <c r="A358" s="113">
        <v>127.44822087999999</v>
      </c>
      <c r="B358" t="s">
        <v>308</v>
      </c>
      <c r="C358" s="5">
        <v>44422</v>
      </c>
      <c r="D358" t="s">
        <v>152</v>
      </c>
      <c r="E358" s="18">
        <v>0</v>
      </c>
      <c r="F358" s="18">
        <v>3235.15920104</v>
      </c>
      <c r="G358" s="18">
        <v>0</v>
      </c>
    </row>
    <row r="359" spans="1:7" x14ac:dyDescent="0.2">
      <c r="A359" s="113">
        <v>20.762739450000002</v>
      </c>
      <c r="B359" t="s">
        <v>308</v>
      </c>
      <c r="C359" s="5">
        <v>44456</v>
      </c>
      <c r="D359" t="s">
        <v>152</v>
      </c>
      <c r="E359" s="18">
        <v>0</v>
      </c>
      <c r="F359" s="18">
        <v>3235.15920104</v>
      </c>
      <c r="G359" s="18">
        <v>0</v>
      </c>
    </row>
    <row r="360" spans="1:7" x14ac:dyDescent="0.2">
      <c r="A360" s="113">
        <v>0.68028200000000005</v>
      </c>
      <c r="B360" t="s">
        <v>308</v>
      </c>
      <c r="C360" s="5">
        <v>44457</v>
      </c>
      <c r="D360" t="s">
        <v>152</v>
      </c>
      <c r="E360" s="18">
        <v>0</v>
      </c>
      <c r="F360" s="18">
        <v>3235.15920104</v>
      </c>
      <c r="G360" s="18">
        <v>0</v>
      </c>
    </row>
    <row r="361" spans="1:7" x14ac:dyDescent="0.2">
      <c r="A361" s="113">
        <v>26.550644810000001</v>
      </c>
      <c r="B361" t="s">
        <v>308</v>
      </c>
      <c r="C361" s="5">
        <v>44463</v>
      </c>
      <c r="D361" t="s">
        <v>152</v>
      </c>
      <c r="E361" s="18">
        <v>0</v>
      </c>
      <c r="F361" s="18">
        <v>3235.15920104</v>
      </c>
      <c r="G361" s="18">
        <v>0</v>
      </c>
    </row>
    <row r="362" spans="1:7" x14ac:dyDescent="0.2">
      <c r="A362" s="113">
        <v>0.24838826999999999</v>
      </c>
      <c r="B362" t="s">
        <v>308</v>
      </c>
      <c r="C362" s="5">
        <v>44473</v>
      </c>
      <c r="D362" t="s">
        <v>189</v>
      </c>
      <c r="E362" s="18">
        <v>0</v>
      </c>
      <c r="F362" s="18">
        <v>3235.15920104</v>
      </c>
      <c r="G362" s="18">
        <v>0</v>
      </c>
    </row>
    <row r="363" spans="1:7" x14ac:dyDescent="0.2">
      <c r="A363" s="113">
        <v>0.89115423000000005</v>
      </c>
      <c r="B363" t="s">
        <v>308</v>
      </c>
      <c r="C363" s="5">
        <v>44473</v>
      </c>
      <c r="D363" t="s">
        <v>139</v>
      </c>
      <c r="E363" s="18">
        <v>0</v>
      </c>
      <c r="F363" s="18">
        <v>3235.15920104</v>
      </c>
      <c r="G363" s="18">
        <v>0</v>
      </c>
    </row>
    <row r="364" spans="1:7" x14ac:dyDescent="0.2">
      <c r="A364" s="113">
        <v>4.4848699400000003</v>
      </c>
      <c r="B364" t="s">
        <v>308</v>
      </c>
      <c r="C364" s="5">
        <v>44475</v>
      </c>
      <c r="D364" t="s">
        <v>152</v>
      </c>
      <c r="E364" s="18">
        <v>0</v>
      </c>
      <c r="F364" s="18">
        <v>3235.15920104</v>
      </c>
      <c r="G364" s="18">
        <v>0</v>
      </c>
    </row>
    <row r="365" spans="1:7" x14ac:dyDescent="0.2">
      <c r="A365" s="113">
        <v>0.77197682000000001</v>
      </c>
      <c r="B365" t="s">
        <v>308</v>
      </c>
      <c r="C365" s="5">
        <v>44482</v>
      </c>
      <c r="D365" t="s">
        <v>152</v>
      </c>
      <c r="E365" s="18">
        <v>0</v>
      </c>
      <c r="F365" s="18">
        <v>3235.15920104</v>
      </c>
      <c r="G365" s="18">
        <v>0</v>
      </c>
    </row>
    <row r="366" spans="1:7" x14ac:dyDescent="0.2">
      <c r="A366" s="113">
        <v>4.8028254800000001</v>
      </c>
      <c r="B366" t="s">
        <v>308</v>
      </c>
      <c r="C366" s="5">
        <v>44484</v>
      </c>
      <c r="D366" t="s">
        <v>152</v>
      </c>
      <c r="E366" s="18">
        <v>0</v>
      </c>
      <c r="F366" s="18">
        <v>3235.15920104</v>
      </c>
      <c r="G366" s="18">
        <v>0</v>
      </c>
    </row>
    <row r="367" spans="1:7" x14ac:dyDescent="0.2">
      <c r="A367" s="113">
        <v>3.5024800300000001</v>
      </c>
      <c r="B367" t="s">
        <v>308</v>
      </c>
      <c r="C367" s="5">
        <v>44487</v>
      </c>
      <c r="D367" t="s">
        <v>124</v>
      </c>
      <c r="E367" s="18">
        <v>0</v>
      </c>
      <c r="F367" s="18">
        <v>3235.15920104</v>
      </c>
      <c r="G367" s="18">
        <v>0</v>
      </c>
    </row>
    <row r="368" spans="1:7" x14ac:dyDescent="0.2">
      <c r="A368" s="113">
        <v>5.7004944999999996</v>
      </c>
      <c r="B368" t="s">
        <v>308</v>
      </c>
      <c r="C368" s="5">
        <v>44490</v>
      </c>
      <c r="D368" t="s">
        <v>152</v>
      </c>
      <c r="E368" s="18">
        <v>0</v>
      </c>
      <c r="F368" s="18">
        <v>3235.15920104</v>
      </c>
      <c r="G368" s="18">
        <v>0</v>
      </c>
    </row>
    <row r="369" spans="1:7" x14ac:dyDescent="0.2">
      <c r="A369" s="113">
        <v>5.9967992099999998</v>
      </c>
      <c r="B369" t="s">
        <v>308</v>
      </c>
      <c r="C369" s="5">
        <v>44499</v>
      </c>
      <c r="D369" t="s">
        <v>152</v>
      </c>
      <c r="E369" s="18">
        <v>0</v>
      </c>
      <c r="F369" s="18">
        <v>3235.15920104</v>
      </c>
      <c r="G369" s="18">
        <v>0</v>
      </c>
    </row>
    <row r="370" spans="1:7" x14ac:dyDescent="0.2">
      <c r="A370" s="113">
        <v>28.66084296</v>
      </c>
      <c r="B370" t="s">
        <v>308</v>
      </c>
      <c r="C370" s="5">
        <v>44501</v>
      </c>
      <c r="D370" t="s">
        <v>152</v>
      </c>
      <c r="E370" s="18">
        <v>0</v>
      </c>
      <c r="F370" s="18">
        <v>3235.15920104</v>
      </c>
      <c r="G370" s="18">
        <v>0</v>
      </c>
    </row>
    <row r="371" spans="1:7" x14ac:dyDescent="0.2">
      <c r="A371" s="113">
        <v>1.0149428599999999</v>
      </c>
      <c r="B371" t="s">
        <v>308</v>
      </c>
      <c r="C371" s="5">
        <v>44511</v>
      </c>
      <c r="D371" t="s">
        <v>152</v>
      </c>
      <c r="E371" s="18">
        <v>0</v>
      </c>
      <c r="F371" s="18">
        <v>3235.15920104</v>
      </c>
      <c r="G371" s="18">
        <v>0</v>
      </c>
    </row>
    <row r="372" spans="1:7" x14ac:dyDescent="0.2">
      <c r="A372" s="113">
        <v>1.2221262500000001</v>
      </c>
      <c r="B372" t="s">
        <v>308</v>
      </c>
      <c r="C372" s="5">
        <v>44513</v>
      </c>
      <c r="D372" t="s">
        <v>184</v>
      </c>
      <c r="E372" s="18">
        <v>0</v>
      </c>
      <c r="F372" s="18">
        <v>3235.15920104</v>
      </c>
      <c r="G372" s="18">
        <v>0</v>
      </c>
    </row>
    <row r="373" spans="1:7" x14ac:dyDescent="0.2">
      <c r="A373" s="113">
        <v>2.72614935</v>
      </c>
      <c r="B373" t="s">
        <v>308</v>
      </c>
      <c r="C373" s="5">
        <v>44531</v>
      </c>
      <c r="D373" t="s">
        <v>152</v>
      </c>
      <c r="E373" s="18">
        <v>0</v>
      </c>
      <c r="F373" s="18">
        <v>3235.15920104</v>
      </c>
      <c r="G373" s="18">
        <v>0</v>
      </c>
    </row>
    <row r="374" spans="1:7" x14ac:dyDescent="0.2">
      <c r="A374" s="113">
        <v>2.9154568900000002</v>
      </c>
      <c r="B374" t="s">
        <v>308</v>
      </c>
      <c r="C374" s="5">
        <v>44535</v>
      </c>
      <c r="D374" t="s">
        <v>152</v>
      </c>
      <c r="E374" s="18">
        <v>0</v>
      </c>
      <c r="F374" s="18">
        <v>3235.15920104</v>
      </c>
      <c r="G374" s="18">
        <v>0</v>
      </c>
    </row>
    <row r="375" spans="1:7" x14ac:dyDescent="0.2">
      <c r="A375" s="113">
        <v>5.7053768199999997</v>
      </c>
      <c r="B375" t="s">
        <v>308</v>
      </c>
      <c r="C375" s="5">
        <v>44539</v>
      </c>
      <c r="D375" t="s">
        <v>152</v>
      </c>
      <c r="E375" s="18">
        <v>0</v>
      </c>
      <c r="F375" s="18">
        <v>3235.15920104</v>
      </c>
      <c r="G375" s="18">
        <v>0</v>
      </c>
    </row>
    <row r="376" spans="1:7" x14ac:dyDescent="0.2">
      <c r="A376" s="113">
        <v>0.90184184999999994</v>
      </c>
      <c r="B376" t="s">
        <v>308</v>
      </c>
      <c r="C376" s="5">
        <v>44540</v>
      </c>
      <c r="D376" t="s">
        <v>152</v>
      </c>
      <c r="E376" s="18">
        <v>0</v>
      </c>
      <c r="F376" s="18">
        <v>3235.15920104</v>
      </c>
      <c r="G376" s="18">
        <v>0</v>
      </c>
    </row>
    <row r="377" spans="1:7" x14ac:dyDescent="0.2">
      <c r="A377" s="113">
        <v>4.87E-6</v>
      </c>
      <c r="B377" t="s">
        <v>309</v>
      </c>
      <c r="C377" s="5">
        <v>44093</v>
      </c>
      <c r="D377" t="s">
        <v>152</v>
      </c>
      <c r="E377" s="18">
        <v>0</v>
      </c>
      <c r="F377" s="18">
        <v>0.35889441999999999</v>
      </c>
      <c r="G377" s="18">
        <v>0</v>
      </c>
    </row>
    <row r="378" spans="1:7" x14ac:dyDescent="0.2">
      <c r="A378" s="113">
        <v>3333.3332999999998</v>
      </c>
      <c r="B378" t="s">
        <v>310</v>
      </c>
      <c r="C378" s="5">
        <v>44216</v>
      </c>
      <c r="D378" t="s">
        <v>152</v>
      </c>
      <c r="E378" s="18">
        <v>0</v>
      </c>
      <c r="F378" s="18">
        <v>894.05848616000003</v>
      </c>
      <c r="G378" s="18">
        <v>0</v>
      </c>
    </row>
    <row r="379" spans="1:7" x14ac:dyDescent="0.2">
      <c r="A379" s="113">
        <v>460</v>
      </c>
      <c r="B379" t="s">
        <v>310</v>
      </c>
      <c r="C379" s="5">
        <v>44501</v>
      </c>
      <c r="D379" t="s">
        <v>122</v>
      </c>
      <c r="E379" s="18">
        <v>0</v>
      </c>
      <c r="F379" s="18">
        <v>894.05848616000003</v>
      </c>
      <c r="G379" s="18">
        <v>0</v>
      </c>
    </row>
    <row r="380" spans="1:7" x14ac:dyDescent="0.2">
      <c r="A380" s="113">
        <v>292.48899999999998</v>
      </c>
      <c r="B380" t="s">
        <v>311</v>
      </c>
      <c r="C380" s="5">
        <v>44088</v>
      </c>
      <c r="D380" t="s">
        <v>150</v>
      </c>
      <c r="E380" s="18">
        <v>0</v>
      </c>
      <c r="F380" s="18">
        <v>8.8192690000000004E-2</v>
      </c>
      <c r="G380" s="18">
        <v>0</v>
      </c>
    </row>
    <row r="381" spans="1:7" x14ac:dyDescent="0.2">
      <c r="A381" s="113">
        <v>721.89</v>
      </c>
      <c r="B381" t="s">
        <v>312</v>
      </c>
      <c r="C381" s="5">
        <v>44329</v>
      </c>
      <c r="D381" t="s">
        <v>158</v>
      </c>
      <c r="E381" s="18">
        <v>0</v>
      </c>
      <c r="F381" s="18">
        <v>4.0702000000000002E-4</v>
      </c>
      <c r="G381" s="18">
        <v>0</v>
      </c>
    </row>
    <row r="382" spans="1:7" x14ac:dyDescent="0.2">
      <c r="A382" s="113">
        <v>1111111.111</v>
      </c>
      <c r="B382" t="s">
        <v>313</v>
      </c>
      <c r="C382" s="5">
        <v>44333</v>
      </c>
      <c r="D382" t="s">
        <v>122</v>
      </c>
      <c r="E382" s="18">
        <v>0</v>
      </c>
      <c r="F382" s="18">
        <v>3.5030500000000002E-3</v>
      </c>
      <c r="G382" s="18">
        <v>0</v>
      </c>
    </row>
    <row r="383" spans="1:7" x14ac:dyDescent="0.2">
      <c r="A383" s="113">
        <v>2.7350000000000001E-5</v>
      </c>
      <c r="B383" t="s">
        <v>314</v>
      </c>
      <c r="C383" s="5">
        <v>44435</v>
      </c>
      <c r="D383" t="s">
        <v>152</v>
      </c>
      <c r="E383" s="18">
        <v>0</v>
      </c>
      <c r="F383" s="18">
        <v>1.546488E-2</v>
      </c>
      <c r="G383" s="18">
        <v>0</v>
      </c>
    </row>
    <row r="384" spans="1:7" x14ac:dyDescent="0.2">
      <c r="A384" s="113">
        <v>13.756</v>
      </c>
      <c r="B384" t="s">
        <v>315</v>
      </c>
      <c r="C384" s="5">
        <v>44491</v>
      </c>
      <c r="D384" t="s">
        <v>150</v>
      </c>
      <c r="E384" s="18">
        <v>0</v>
      </c>
      <c r="F384" s="18">
        <v>5.9806716299999998</v>
      </c>
      <c r="G384" s="18">
        <v>0</v>
      </c>
    </row>
    <row r="385" spans="1:7" x14ac:dyDescent="0.2">
      <c r="A385" s="113">
        <v>35304.740239780003</v>
      </c>
      <c r="B385" t="s">
        <v>316</v>
      </c>
      <c r="C385" s="5">
        <v>44062</v>
      </c>
      <c r="D385" t="s">
        <v>152</v>
      </c>
      <c r="E385" s="18">
        <v>0</v>
      </c>
      <c r="F385" s="18">
        <v>34.277743569999998</v>
      </c>
      <c r="G385" s="18">
        <v>0</v>
      </c>
    </row>
    <row r="386" spans="1:7" x14ac:dyDescent="0.2">
      <c r="A386" s="113">
        <v>18.085971350000001</v>
      </c>
      <c r="B386" t="s">
        <v>316</v>
      </c>
      <c r="C386" s="5">
        <v>44195</v>
      </c>
      <c r="D386" t="s">
        <v>152</v>
      </c>
      <c r="E386" s="18">
        <v>0</v>
      </c>
      <c r="F386" s="18">
        <v>34.277743569999998</v>
      </c>
      <c r="G386" s="18">
        <v>0</v>
      </c>
    </row>
    <row r="387" spans="1:7" x14ac:dyDescent="0.2">
      <c r="A387" s="113">
        <v>1171.889891</v>
      </c>
      <c r="B387" t="s">
        <v>316</v>
      </c>
      <c r="C387" s="5">
        <v>44198</v>
      </c>
      <c r="D387" t="s">
        <v>152</v>
      </c>
      <c r="E387" s="18">
        <v>0</v>
      </c>
      <c r="F387" s="18">
        <v>34.277743569999998</v>
      </c>
      <c r="G387" s="18">
        <v>0</v>
      </c>
    </row>
    <row r="388" spans="1:7" x14ac:dyDescent="0.2">
      <c r="A388" s="113">
        <v>89.589593070000006</v>
      </c>
      <c r="B388" t="s">
        <v>316</v>
      </c>
      <c r="C388" s="5">
        <v>44199</v>
      </c>
      <c r="D388" t="s">
        <v>152</v>
      </c>
      <c r="E388" s="18">
        <v>0</v>
      </c>
      <c r="F388" s="18">
        <v>34.277743569999998</v>
      </c>
      <c r="G388" s="18">
        <v>0</v>
      </c>
    </row>
    <row r="389" spans="1:7" x14ac:dyDescent="0.2">
      <c r="A389" s="113">
        <v>1605.518679</v>
      </c>
      <c r="B389" t="s">
        <v>316</v>
      </c>
      <c r="C389" s="5">
        <v>44211</v>
      </c>
      <c r="D389" t="s">
        <v>152</v>
      </c>
      <c r="E389" s="18">
        <v>0</v>
      </c>
      <c r="F389" s="18">
        <v>34.277743569999998</v>
      </c>
      <c r="G389" s="18">
        <v>0</v>
      </c>
    </row>
    <row r="390" spans="1:7" x14ac:dyDescent="0.2">
      <c r="A390" s="113">
        <v>233.1389963</v>
      </c>
      <c r="B390" t="s">
        <v>316</v>
      </c>
      <c r="C390" s="5">
        <v>44213</v>
      </c>
      <c r="D390" t="s">
        <v>152</v>
      </c>
      <c r="E390" s="18">
        <v>0</v>
      </c>
      <c r="F390" s="18">
        <v>34.277743569999998</v>
      </c>
      <c r="G390" s="18">
        <v>0</v>
      </c>
    </row>
    <row r="391" spans="1:7" x14ac:dyDescent="0.2">
      <c r="A391" s="113">
        <v>532.44704530000001</v>
      </c>
      <c r="B391" t="s">
        <v>316</v>
      </c>
      <c r="C391" s="5">
        <v>44219</v>
      </c>
      <c r="D391" t="s">
        <v>152</v>
      </c>
      <c r="E391" s="18">
        <v>0</v>
      </c>
      <c r="F391" s="18">
        <v>34.277743569999998</v>
      </c>
      <c r="G391" s="18">
        <v>0</v>
      </c>
    </row>
    <row r="392" spans="1:7" x14ac:dyDescent="0.2">
      <c r="A392" s="113">
        <v>3616.7036367400001</v>
      </c>
      <c r="B392" t="s">
        <v>316</v>
      </c>
      <c r="C392" s="5">
        <v>44223</v>
      </c>
      <c r="D392" t="s">
        <v>166</v>
      </c>
      <c r="E392" s="18">
        <v>0</v>
      </c>
      <c r="F392" s="18">
        <v>34.277743569999998</v>
      </c>
      <c r="G392" s="18">
        <v>0</v>
      </c>
    </row>
    <row r="393" spans="1:7" x14ac:dyDescent="0.2">
      <c r="A393" s="113">
        <v>6126.8780150599996</v>
      </c>
      <c r="B393" t="s">
        <v>316</v>
      </c>
      <c r="C393" s="5">
        <v>44223</v>
      </c>
      <c r="D393" t="s">
        <v>152</v>
      </c>
      <c r="E393" s="18">
        <v>0</v>
      </c>
      <c r="F393" s="18">
        <v>34.277743569999998</v>
      </c>
      <c r="G393" s="18">
        <v>0</v>
      </c>
    </row>
    <row r="394" spans="1:7" x14ac:dyDescent="0.2">
      <c r="A394" s="113">
        <v>911.14340330000005</v>
      </c>
      <c r="B394" t="s">
        <v>316</v>
      </c>
      <c r="C394" s="5">
        <v>44224</v>
      </c>
      <c r="D394" t="s">
        <v>152</v>
      </c>
      <c r="E394" s="18">
        <v>0</v>
      </c>
      <c r="F394" s="18">
        <v>34.277743569999998</v>
      </c>
      <c r="G394" s="18">
        <v>0</v>
      </c>
    </row>
    <row r="395" spans="1:7" x14ac:dyDescent="0.2">
      <c r="A395" s="113">
        <v>1829.237539</v>
      </c>
      <c r="B395" t="s">
        <v>316</v>
      </c>
      <c r="C395" s="5">
        <v>44234</v>
      </c>
      <c r="D395" t="s">
        <v>152</v>
      </c>
      <c r="E395" s="18">
        <v>0</v>
      </c>
      <c r="F395" s="18">
        <v>34.277743569999998</v>
      </c>
      <c r="G395" s="18">
        <v>0</v>
      </c>
    </row>
    <row r="396" spans="1:7" x14ac:dyDescent="0.2">
      <c r="A396" s="113">
        <v>2782.2460310000001</v>
      </c>
      <c r="B396" t="s">
        <v>316</v>
      </c>
      <c r="C396" s="5">
        <v>44251</v>
      </c>
      <c r="D396" t="s">
        <v>152</v>
      </c>
      <c r="E396" s="18">
        <v>0</v>
      </c>
      <c r="F396" s="18">
        <v>34.277743569999998</v>
      </c>
      <c r="G396" s="18">
        <v>0</v>
      </c>
    </row>
    <row r="397" spans="1:7" x14ac:dyDescent="0.2">
      <c r="A397" s="113">
        <v>1428.4928299999999</v>
      </c>
      <c r="B397" t="s">
        <v>316</v>
      </c>
      <c r="C397" s="5">
        <v>44261</v>
      </c>
      <c r="D397" t="s">
        <v>152</v>
      </c>
      <c r="E397" s="18">
        <v>0</v>
      </c>
      <c r="F397" s="18">
        <v>34.277743569999998</v>
      </c>
      <c r="G397" s="18">
        <v>0</v>
      </c>
    </row>
    <row r="398" spans="1:7" x14ac:dyDescent="0.2">
      <c r="A398" s="113">
        <v>911.28832469999998</v>
      </c>
      <c r="B398" t="s">
        <v>316</v>
      </c>
      <c r="C398" s="5">
        <v>44268</v>
      </c>
      <c r="D398" t="s">
        <v>152</v>
      </c>
      <c r="E398" s="18">
        <v>0</v>
      </c>
      <c r="F398" s="18">
        <v>34.277743569999998</v>
      </c>
      <c r="G398" s="18">
        <v>0</v>
      </c>
    </row>
    <row r="399" spans="1:7" x14ac:dyDescent="0.2">
      <c r="A399" s="113">
        <v>5505.6877940000004</v>
      </c>
      <c r="B399" t="s">
        <v>316</v>
      </c>
      <c r="C399" s="5">
        <v>44306</v>
      </c>
      <c r="D399" t="s">
        <v>152</v>
      </c>
      <c r="E399" s="18">
        <v>0</v>
      </c>
      <c r="F399" s="18">
        <v>34.277743569999998</v>
      </c>
      <c r="G399" s="18">
        <v>0</v>
      </c>
    </row>
    <row r="400" spans="1:7" x14ac:dyDescent="0.2">
      <c r="A400" s="113">
        <v>19559.141824220002</v>
      </c>
      <c r="B400" t="s">
        <v>316</v>
      </c>
      <c r="C400" s="5">
        <v>44339</v>
      </c>
      <c r="D400" t="s">
        <v>152</v>
      </c>
      <c r="E400" s="18">
        <v>0</v>
      </c>
      <c r="F400" s="18">
        <v>34.277743569999998</v>
      </c>
      <c r="G400" s="18">
        <v>0</v>
      </c>
    </row>
    <row r="401" spans="1:7" x14ac:dyDescent="0.2">
      <c r="A401" s="113">
        <v>1.1545957499999999</v>
      </c>
      <c r="B401" t="s">
        <v>316</v>
      </c>
      <c r="C401" s="5">
        <v>44342</v>
      </c>
      <c r="D401" t="s">
        <v>172</v>
      </c>
      <c r="E401" s="18">
        <v>0</v>
      </c>
      <c r="F401" s="18">
        <v>34.277743569999998</v>
      </c>
      <c r="G401" s="18">
        <v>0</v>
      </c>
    </row>
    <row r="402" spans="1:7" x14ac:dyDescent="0.2">
      <c r="A402" s="113">
        <v>2679.0883690000001</v>
      </c>
      <c r="B402" t="s">
        <v>316</v>
      </c>
      <c r="C402" s="5">
        <v>44343</v>
      </c>
      <c r="D402" t="s">
        <v>184</v>
      </c>
      <c r="E402" s="18">
        <v>0</v>
      </c>
      <c r="F402" s="18">
        <v>34.277743569999998</v>
      </c>
      <c r="G402" s="18">
        <v>0</v>
      </c>
    </row>
    <row r="403" spans="1:7" x14ac:dyDescent="0.2">
      <c r="A403" s="113">
        <v>1573.390328</v>
      </c>
      <c r="B403" t="s">
        <v>316</v>
      </c>
      <c r="C403" s="5">
        <v>44343</v>
      </c>
      <c r="D403" t="s">
        <v>172</v>
      </c>
      <c r="E403" s="18">
        <v>0</v>
      </c>
      <c r="F403" s="18">
        <v>34.277743569999998</v>
      </c>
      <c r="G403" s="18">
        <v>0</v>
      </c>
    </row>
    <row r="404" spans="1:7" x14ac:dyDescent="0.2">
      <c r="A404" s="113">
        <v>2309.604034</v>
      </c>
      <c r="B404" t="s">
        <v>316</v>
      </c>
      <c r="C404" s="5">
        <v>44412</v>
      </c>
      <c r="D404" t="s">
        <v>152</v>
      </c>
      <c r="E404" s="18">
        <v>0</v>
      </c>
      <c r="F404" s="18">
        <v>34.277743569999998</v>
      </c>
      <c r="G404" s="18">
        <v>0</v>
      </c>
    </row>
    <row r="405" spans="1:7" x14ac:dyDescent="0.2">
      <c r="A405" s="113">
        <v>821.28509050000002</v>
      </c>
      <c r="B405" t="s">
        <v>316</v>
      </c>
      <c r="C405" s="5">
        <v>44418</v>
      </c>
      <c r="D405" t="s">
        <v>172</v>
      </c>
      <c r="E405" s="18">
        <v>0</v>
      </c>
      <c r="F405" s="18">
        <v>34.277743569999998</v>
      </c>
      <c r="G405" s="18">
        <v>0</v>
      </c>
    </row>
    <row r="406" spans="1:7" x14ac:dyDescent="0.2">
      <c r="A406" s="113">
        <v>1398.939781</v>
      </c>
      <c r="B406" t="s">
        <v>316</v>
      </c>
      <c r="C406" s="5">
        <v>44418</v>
      </c>
      <c r="D406" t="s">
        <v>184</v>
      </c>
      <c r="E406" s="18">
        <v>0</v>
      </c>
      <c r="F406" s="18">
        <v>34.277743569999998</v>
      </c>
      <c r="G406" s="18">
        <v>0</v>
      </c>
    </row>
    <row r="407" spans="1:7" x14ac:dyDescent="0.2">
      <c r="A407" s="113">
        <v>1161.4441220000001</v>
      </c>
      <c r="B407" t="s">
        <v>316</v>
      </c>
      <c r="C407" s="5">
        <v>44455</v>
      </c>
      <c r="D407" t="s">
        <v>184</v>
      </c>
      <c r="E407" s="18">
        <v>0</v>
      </c>
      <c r="F407" s="18">
        <v>34.277743569999998</v>
      </c>
      <c r="G407" s="18">
        <v>0</v>
      </c>
    </row>
    <row r="408" spans="1:7" x14ac:dyDescent="0.2">
      <c r="A408" s="113">
        <v>681.61892560000001</v>
      </c>
      <c r="B408" t="s">
        <v>316</v>
      </c>
      <c r="C408" s="5">
        <v>44455</v>
      </c>
      <c r="D408" t="s">
        <v>172</v>
      </c>
      <c r="E408" s="18">
        <v>0</v>
      </c>
      <c r="F408" s="18">
        <v>34.277743569999998</v>
      </c>
      <c r="G408" s="18">
        <v>0</v>
      </c>
    </row>
    <row r="409" spans="1:7" x14ac:dyDescent="0.2">
      <c r="A409" s="113">
        <v>53.711227780000002</v>
      </c>
      <c r="B409" t="s">
        <v>316</v>
      </c>
      <c r="C409" s="5">
        <v>44459</v>
      </c>
      <c r="D409" t="s">
        <v>184</v>
      </c>
      <c r="E409" s="18">
        <v>0</v>
      </c>
      <c r="F409" s="18">
        <v>34.277743569999998</v>
      </c>
      <c r="G409" s="18">
        <v>0</v>
      </c>
    </row>
    <row r="410" spans="1:7" x14ac:dyDescent="0.2">
      <c r="A410" s="113">
        <v>62496.875</v>
      </c>
      <c r="B410" t="s">
        <v>317</v>
      </c>
      <c r="C410" s="5">
        <v>44216</v>
      </c>
      <c r="D410" t="s">
        <v>122</v>
      </c>
      <c r="E410" s="18">
        <v>0</v>
      </c>
      <c r="F410" s="18">
        <v>1.97667562</v>
      </c>
      <c r="G410" s="18">
        <v>0</v>
      </c>
    </row>
    <row r="411" spans="1:7" x14ac:dyDescent="0.2">
      <c r="A411" s="113">
        <v>1</v>
      </c>
      <c r="B411" t="s">
        <v>318</v>
      </c>
      <c r="C411" s="5">
        <v>44362</v>
      </c>
      <c r="D411" t="s">
        <v>122</v>
      </c>
      <c r="E411" s="18">
        <v>0</v>
      </c>
      <c r="F411" s="18">
        <v>2.2094130999999999</v>
      </c>
      <c r="G411" s="18">
        <v>0</v>
      </c>
    </row>
    <row r="412" spans="1:7" x14ac:dyDescent="0.2">
      <c r="A412" s="113">
        <v>124993.75</v>
      </c>
      <c r="B412" t="s">
        <v>319</v>
      </c>
      <c r="C412" s="5">
        <v>44477</v>
      </c>
      <c r="D412" t="s">
        <v>158</v>
      </c>
      <c r="E412" s="18">
        <v>0</v>
      </c>
      <c r="F412" s="18">
        <v>0</v>
      </c>
      <c r="G412" s="18">
        <v>0</v>
      </c>
    </row>
    <row r="413" spans="1:7" x14ac:dyDescent="0.2">
      <c r="A413" s="113">
        <v>2.1185254100000002</v>
      </c>
      <c r="B413" t="s">
        <v>320</v>
      </c>
      <c r="C413" s="5">
        <v>43455</v>
      </c>
      <c r="D413" t="s">
        <v>132</v>
      </c>
      <c r="E413" s="18">
        <v>0</v>
      </c>
      <c r="F413" s="18">
        <v>40701.75</v>
      </c>
      <c r="G413" s="18">
        <v>0</v>
      </c>
    </row>
    <row r="414" spans="1:7" x14ac:dyDescent="0.2">
      <c r="A414" s="113">
        <v>5.8346456900000003</v>
      </c>
      <c r="B414" t="s">
        <v>320</v>
      </c>
      <c r="C414" s="5">
        <v>43576</v>
      </c>
      <c r="D414" t="s">
        <v>132</v>
      </c>
      <c r="E414" s="18">
        <v>0</v>
      </c>
      <c r="F414" s="18">
        <v>40701.75</v>
      </c>
      <c r="G414" s="18">
        <v>0</v>
      </c>
    </row>
    <row r="415" spans="1:7" x14ac:dyDescent="0.2">
      <c r="A415" s="113">
        <v>2.6110959999999999E-2</v>
      </c>
      <c r="B415" t="s">
        <v>320</v>
      </c>
      <c r="C415" s="5">
        <v>43671</v>
      </c>
      <c r="D415" t="s">
        <v>132</v>
      </c>
      <c r="E415" s="18">
        <v>0</v>
      </c>
      <c r="F415" s="18">
        <v>40701.75</v>
      </c>
      <c r="G415" s="18">
        <v>0</v>
      </c>
    </row>
    <row r="416" spans="1:7" x14ac:dyDescent="0.2">
      <c r="A416" s="113">
        <v>1.6131172600000001</v>
      </c>
      <c r="B416" t="s">
        <v>320</v>
      </c>
      <c r="C416" s="5">
        <v>43672</v>
      </c>
      <c r="D416" t="s">
        <v>132</v>
      </c>
      <c r="E416" s="18">
        <v>0</v>
      </c>
      <c r="F416" s="18">
        <v>40701.75</v>
      </c>
      <c r="G416" s="18">
        <v>0</v>
      </c>
    </row>
    <row r="417" spans="1:7" x14ac:dyDescent="0.2">
      <c r="A417" s="113">
        <v>0.3</v>
      </c>
      <c r="B417" t="s">
        <v>320</v>
      </c>
      <c r="C417" s="5">
        <v>43691</v>
      </c>
      <c r="D417" t="s">
        <v>132</v>
      </c>
      <c r="E417" s="18">
        <v>0</v>
      </c>
      <c r="F417" s="18">
        <v>40701.75</v>
      </c>
      <c r="G417" s="18">
        <v>0</v>
      </c>
    </row>
    <row r="418" spans="1:7" x14ac:dyDescent="0.2">
      <c r="A418" s="113">
        <v>0.38</v>
      </c>
      <c r="B418" t="s">
        <v>320</v>
      </c>
      <c r="C418" s="5">
        <v>43710</v>
      </c>
      <c r="D418" t="s">
        <v>132</v>
      </c>
      <c r="E418" s="18">
        <v>0</v>
      </c>
      <c r="F418" s="18">
        <v>40701.75</v>
      </c>
      <c r="G418" s="18">
        <v>0</v>
      </c>
    </row>
    <row r="419" spans="1:7" x14ac:dyDescent="0.2">
      <c r="A419" s="113">
        <v>1.9960551200000001</v>
      </c>
      <c r="B419" t="s">
        <v>320</v>
      </c>
      <c r="C419" s="5">
        <v>43719</v>
      </c>
      <c r="D419" t="s">
        <v>132</v>
      </c>
      <c r="E419" s="18">
        <v>0</v>
      </c>
      <c r="F419" s="18">
        <v>40701.75</v>
      </c>
      <c r="G419" s="18">
        <v>0</v>
      </c>
    </row>
    <row r="420" spans="1:7" x14ac:dyDescent="0.2">
      <c r="A420" s="113">
        <v>0.60408680999999997</v>
      </c>
      <c r="B420" t="s">
        <v>320</v>
      </c>
      <c r="C420" s="5">
        <v>43788</v>
      </c>
      <c r="D420" t="s">
        <v>132</v>
      </c>
      <c r="E420" s="18">
        <v>0</v>
      </c>
      <c r="F420" s="18">
        <v>40701.75</v>
      </c>
      <c r="G420" s="18">
        <v>0</v>
      </c>
    </row>
    <row r="421" spans="1:7" x14ac:dyDescent="0.2">
      <c r="A421" s="113">
        <v>8.7836949999999997E-2</v>
      </c>
      <c r="B421" t="s">
        <v>320</v>
      </c>
      <c r="C421" s="5">
        <v>43788</v>
      </c>
      <c r="D421" t="s">
        <v>305</v>
      </c>
      <c r="E421" s="18">
        <v>0</v>
      </c>
      <c r="F421" s="18">
        <v>40701.75</v>
      </c>
      <c r="G421" s="18">
        <v>0</v>
      </c>
    </row>
    <row r="422" spans="1:7" x14ac:dyDescent="0.2">
      <c r="A422" s="113">
        <v>0.46600000000000003</v>
      </c>
      <c r="B422" t="s">
        <v>320</v>
      </c>
      <c r="C422" s="5">
        <v>43792</v>
      </c>
      <c r="D422" t="s">
        <v>132</v>
      </c>
      <c r="E422" s="18">
        <v>0</v>
      </c>
      <c r="F422" s="18">
        <v>40701.75</v>
      </c>
      <c r="G422" s="18">
        <v>0</v>
      </c>
    </row>
    <row r="423" spans="1:7" x14ac:dyDescent="0.2">
      <c r="A423" s="113">
        <v>0.46600000000000003</v>
      </c>
      <c r="B423" t="s">
        <v>320</v>
      </c>
      <c r="C423" s="5">
        <v>43792</v>
      </c>
      <c r="D423" t="s">
        <v>305</v>
      </c>
      <c r="E423" s="18">
        <v>0</v>
      </c>
      <c r="F423" s="18">
        <v>40701.75</v>
      </c>
      <c r="G423" s="18">
        <v>0</v>
      </c>
    </row>
    <row r="424" spans="1:7" x14ac:dyDescent="0.2">
      <c r="A424" s="113">
        <v>0.23251611999999999</v>
      </c>
      <c r="B424" t="s">
        <v>320</v>
      </c>
      <c r="C424" s="5">
        <v>43874</v>
      </c>
      <c r="D424" t="s">
        <v>132</v>
      </c>
      <c r="E424" s="18">
        <v>0</v>
      </c>
      <c r="F424" s="18">
        <v>40701.75</v>
      </c>
      <c r="G424" s="18">
        <v>0</v>
      </c>
    </row>
    <row r="425" spans="1:7" x14ac:dyDescent="0.2">
      <c r="A425" s="113">
        <v>0.28949999999999998</v>
      </c>
      <c r="B425" t="s">
        <v>320</v>
      </c>
      <c r="C425" s="5">
        <v>43887</v>
      </c>
      <c r="D425" t="s">
        <v>132</v>
      </c>
      <c r="E425" s="18">
        <v>0</v>
      </c>
      <c r="F425" s="18">
        <v>40701.75</v>
      </c>
      <c r="G425" s="18">
        <v>0</v>
      </c>
    </row>
    <row r="426" spans="1:7" x14ac:dyDescent="0.2">
      <c r="A426" s="113">
        <v>0.13</v>
      </c>
      <c r="B426" t="s">
        <v>320</v>
      </c>
      <c r="C426" s="5">
        <v>43892</v>
      </c>
      <c r="D426" t="s">
        <v>132</v>
      </c>
      <c r="E426" s="18">
        <v>0</v>
      </c>
      <c r="F426" s="18">
        <v>40701.75</v>
      </c>
      <c r="G426" s="18">
        <v>0</v>
      </c>
    </row>
    <row r="427" spans="1:7" x14ac:dyDescent="0.2">
      <c r="A427" s="113">
        <v>0.13500000000000001</v>
      </c>
      <c r="B427" t="s">
        <v>320</v>
      </c>
      <c r="C427" s="5">
        <v>43898</v>
      </c>
      <c r="D427" t="s">
        <v>132</v>
      </c>
      <c r="E427" s="18">
        <v>0</v>
      </c>
      <c r="F427" s="18">
        <v>40701.75</v>
      </c>
      <c r="G427" s="18">
        <v>0</v>
      </c>
    </row>
    <row r="428" spans="1:7" x14ac:dyDescent="0.2">
      <c r="A428" s="113">
        <v>0.99413161999999999</v>
      </c>
      <c r="B428" t="s">
        <v>320</v>
      </c>
      <c r="C428" s="5">
        <v>44111</v>
      </c>
      <c r="D428" t="s">
        <v>150</v>
      </c>
      <c r="E428" s="18">
        <v>0</v>
      </c>
      <c r="F428" s="18">
        <v>40701.75</v>
      </c>
      <c r="G428" s="18">
        <v>0</v>
      </c>
    </row>
    <row r="429" spans="1:7" x14ac:dyDescent="0.2">
      <c r="A429" s="113">
        <v>0.42509955999999999</v>
      </c>
      <c r="B429" t="s">
        <v>320</v>
      </c>
      <c r="C429" s="5">
        <v>44164</v>
      </c>
      <c r="D429" t="s">
        <v>150</v>
      </c>
      <c r="E429" s="18">
        <v>0</v>
      </c>
      <c r="F429" s="18">
        <v>40701.75</v>
      </c>
      <c r="G429" s="18">
        <v>0</v>
      </c>
    </row>
    <row r="430" spans="1:7" x14ac:dyDescent="0.2">
      <c r="A430" s="113">
        <v>1</v>
      </c>
      <c r="B430" t="s">
        <v>320</v>
      </c>
      <c r="C430" s="5">
        <v>44177</v>
      </c>
      <c r="D430" t="s">
        <v>132</v>
      </c>
      <c r="E430" s="18">
        <v>0</v>
      </c>
      <c r="F430" s="18">
        <v>40701.75</v>
      </c>
      <c r="G430" s="18">
        <v>0</v>
      </c>
    </row>
    <row r="431" spans="1:7" x14ac:dyDescent="0.2">
      <c r="A431" s="113">
        <v>0.5</v>
      </c>
      <c r="B431" t="s">
        <v>320</v>
      </c>
      <c r="C431" s="5">
        <v>44178</v>
      </c>
      <c r="D431" t="s">
        <v>132</v>
      </c>
      <c r="E431" s="18">
        <v>0</v>
      </c>
      <c r="F431" s="18">
        <v>40701.75</v>
      </c>
      <c r="G431" s="18">
        <v>0</v>
      </c>
    </row>
    <row r="432" spans="1:7" x14ac:dyDescent="0.2">
      <c r="A432" s="113">
        <v>0.5</v>
      </c>
      <c r="B432" t="s">
        <v>320</v>
      </c>
      <c r="C432" s="5">
        <v>44186</v>
      </c>
      <c r="D432" t="s">
        <v>132</v>
      </c>
      <c r="E432" s="18">
        <v>0</v>
      </c>
      <c r="F432" s="18">
        <v>40701.75</v>
      </c>
      <c r="G432" s="18">
        <v>0</v>
      </c>
    </row>
    <row r="433" spans="1:7" x14ac:dyDescent="0.2">
      <c r="A433" s="113">
        <v>5.956579E-2</v>
      </c>
      <c r="B433" t="s">
        <v>320</v>
      </c>
      <c r="C433" s="5">
        <v>44199</v>
      </c>
      <c r="D433" t="s">
        <v>305</v>
      </c>
      <c r="E433" s="18">
        <v>0</v>
      </c>
      <c r="F433" s="18">
        <v>40701.75</v>
      </c>
      <c r="G433" s="18">
        <v>0</v>
      </c>
    </row>
    <row r="434" spans="1:7" x14ac:dyDescent="0.2">
      <c r="A434" s="113">
        <v>3</v>
      </c>
      <c r="B434" t="s">
        <v>320</v>
      </c>
      <c r="C434" s="5">
        <v>44225</v>
      </c>
      <c r="D434" t="s">
        <v>132</v>
      </c>
      <c r="E434" s="18">
        <v>0</v>
      </c>
      <c r="F434" s="18">
        <v>40701.75</v>
      </c>
      <c r="G434" s="18">
        <v>0</v>
      </c>
    </row>
    <row r="435" spans="1:7" x14ac:dyDescent="0.2">
      <c r="A435" s="113">
        <v>1.0127013300000001</v>
      </c>
      <c r="B435" t="s">
        <v>320</v>
      </c>
      <c r="C435" s="5">
        <v>44246</v>
      </c>
      <c r="D435" t="s">
        <v>150</v>
      </c>
      <c r="E435" s="18">
        <v>0</v>
      </c>
      <c r="F435" s="18">
        <v>40701.75</v>
      </c>
      <c r="G435" s="18">
        <v>0</v>
      </c>
    </row>
    <row r="436" spans="1:7" x14ac:dyDescent="0.2">
      <c r="A436" s="113">
        <v>0.5</v>
      </c>
      <c r="B436" t="s">
        <v>320</v>
      </c>
      <c r="C436" s="5">
        <v>44269</v>
      </c>
      <c r="D436" t="s">
        <v>152</v>
      </c>
      <c r="E436" s="18">
        <v>0</v>
      </c>
      <c r="F436" s="18">
        <v>40701.75</v>
      </c>
      <c r="G436" s="18">
        <v>0</v>
      </c>
    </row>
    <row r="437" spans="1:7" x14ac:dyDescent="0.2">
      <c r="A437" s="113">
        <v>2</v>
      </c>
      <c r="B437" t="s">
        <v>320</v>
      </c>
      <c r="C437" s="5">
        <v>44309</v>
      </c>
      <c r="D437" t="s">
        <v>132</v>
      </c>
      <c r="E437" s="18">
        <v>0</v>
      </c>
      <c r="F437" s="18">
        <v>40701.75</v>
      </c>
      <c r="G437" s="18">
        <v>0</v>
      </c>
    </row>
    <row r="438" spans="1:7" x14ac:dyDescent="0.2">
      <c r="A438" s="113">
        <v>0.50084733000000003</v>
      </c>
      <c r="B438" t="s">
        <v>320</v>
      </c>
      <c r="C438" s="5">
        <v>44333</v>
      </c>
      <c r="D438" t="s">
        <v>150</v>
      </c>
      <c r="E438" s="18">
        <v>0</v>
      </c>
      <c r="F438" s="18">
        <v>40701.75</v>
      </c>
      <c r="G438" s="18">
        <v>0</v>
      </c>
    </row>
    <row r="439" spans="1:7" x14ac:dyDescent="0.2">
      <c r="A439" s="113">
        <v>1.008982</v>
      </c>
      <c r="B439" t="s">
        <v>320</v>
      </c>
      <c r="C439" s="5">
        <v>44352</v>
      </c>
      <c r="D439" t="s">
        <v>150</v>
      </c>
      <c r="E439" s="18">
        <v>0</v>
      </c>
      <c r="F439" s="18">
        <v>40701.75</v>
      </c>
      <c r="G439" s="18">
        <v>0</v>
      </c>
    </row>
    <row r="440" spans="1:7" x14ac:dyDescent="0.2">
      <c r="A440" s="113">
        <v>1</v>
      </c>
      <c r="B440" t="s">
        <v>320</v>
      </c>
      <c r="C440" s="5">
        <v>44355</v>
      </c>
      <c r="D440" t="s">
        <v>132</v>
      </c>
      <c r="E440" s="18">
        <v>0</v>
      </c>
      <c r="F440" s="18">
        <v>40701.75</v>
      </c>
      <c r="G440" s="18">
        <v>0</v>
      </c>
    </row>
    <row r="441" spans="1:7" x14ac:dyDescent="0.2">
      <c r="A441" s="113">
        <v>1.9699999999999999E-2</v>
      </c>
      <c r="B441" t="s">
        <v>320</v>
      </c>
      <c r="C441" s="5">
        <v>44389.782442129625</v>
      </c>
      <c r="D441" t="s">
        <v>321</v>
      </c>
      <c r="E441" s="18">
        <v>0</v>
      </c>
      <c r="F441" s="18">
        <v>40701.75</v>
      </c>
      <c r="G441" s="18">
        <v>0</v>
      </c>
    </row>
    <row r="442" spans="1:7" x14ac:dyDescent="0.2">
      <c r="A442" s="113">
        <v>0.95875193000000003</v>
      </c>
      <c r="B442" t="s">
        <v>320</v>
      </c>
      <c r="C442" s="5">
        <v>44462</v>
      </c>
      <c r="D442" t="s">
        <v>166</v>
      </c>
      <c r="E442" s="18">
        <v>0</v>
      </c>
      <c r="F442" s="18">
        <v>40701.75</v>
      </c>
      <c r="G442" s="18">
        <v>0</v>
      </c>
    </row>
    <row r="443" spans="1:7" x14ac:dyDescent="0.2">
      <c r="A443" s="113">
        <v>1.04074296</v>
      </c>
      <c r="B443" t="s">
        <v>320</v>
      </c>
      <c r="C443" s="5">
        <v>44463</v>
      </c>
      <c r="D443" t="s">
        <v>152</v>
      </c>
      <c r="E443" s="18">
        <v>0</v>
      </c>
      <c r="F443" s="18">
        <v>40701.75</v>
      </c>
      <c r="G443" s="18">
        <v>0</v>
      </c>
    </row>
    <row r="444" spans="1:7" x14ac:dyDescent="0.2">
      <c r="A444" s="113">
        <v>1.53508475</v>
      </c>
      <c r="B444" t="s">
        <v>320</v>
      </c>
      <c r="C444" s="5">
        <v>44484</v>
      </c>
      <c r="D444" t="s">
        <v>150</v>
      </c>
      <c r="E444" s="18">
        <v>0</v>
      </c>
      <c r="F444" s="18">
        <v>40701.75</v>
      </c>
      <c r="G444" s="18">
        <v>0</v>
      </c>
    </row>
    <row r="445" spans="1:7" x14ac:dyDescent="0.2">
      <c r="A445" s="113">
        <v>4.5900390499999997</v>
      </c>
      <c r="B445" t="s">
        <v>322</v>
      </c>
      <c r="C445" s="5">
        <v>44333</v>
      </c>
      <c r="D445" t="s">
        <v>150</v>
      </c>
      <c r="E445" s="18">
        <v>0</v>
      </c>
      <c r="F445" s="18">
        <v>449.58520212000002</v>
      </c>
      <c r="G445" s="18">
        <v>0</v>
      </c>
    </row>
    <row r="446" spans="1:7" x14ac:dyDescent="0.2">
      <c r="A446" s="113">
        <v>50.835000000000001</v>
      </c>
      <c r="B446" t="s">
        <v>322</v>
      </c>
      <c r="C446" s="5">
        <v>44352</v>
      </c>
      <c r="D446" t="s">
        <v>150</v>
      </c>
      <c r="E446" s="18">
        <v>0</v>
      </c>
      <c r="F446" s="18">
        <v>449.58520212000002</v>
      </c>
      <c r="G446" s="18">
        <v>0</v>
      </c>
    </row>
    <row r="447" spans="1:7" x14ac:dyDescent="0.2">
      <c r="A447" s="113">
        <v>55.967500000000001</v>
      </c>
      <c r="B447" t="s">
        <v>322</v>
      </c>
      <c r="C447" s="5">
        <v>44355</v>
      </c>
      <c r="D447" t="s">
        <v>150</v>
      </c>
      <c r="E447" s="18">
        <v>0</v>
      </c>
      <c r="F447" s="18">
        <v>449.58520212000002</v>
      </c>
      <c r="G447" s="18">
        <v>0</v>
      </c>
    </row>
    <row r="448" spans="1:7" x14ac:dyDescent="0.2">
      <c r="A448" s="113">
        <v>19.72552138</v>
      </c>
      <c r="B448" t="s">
        <v>322</v>
      </c>
      <c r="C448" s="5">
        <v>44431</v>
      </c>
      <c r="D448" t="s">
        <v>158</v>
      </c>
      <c r="E448" s="18">
        <v>0</v>
      </c>
      <c r="F448" s="18">
        <v>449.58520212000002</v>
      </c>
      <c r="G448" s="18">
        <v>0</v>
      </c>
    </row>
    <row r="449" spans="1:7" x14ac:dyDescent="0.2">
      <c r="A449" s="113">
        <v>4.00472055</v>
      </c>
      <c r="B449" t="s">
        <v>322</v>
      </c>
      <c r="C449" s="5">
        <v>44463</v>
      </c>
      <c r="D449" t="s">
        <v>158</v>
      </c>
      <c r="E449" s="18">
        <v>0</v>
      </c>
      <c r="F449" s="18">
        <v>449.58520212000002</v>
      </c>
      <c r="G449" s="18">
        <v>0</v>
      </c>
    </row>
    <row r="450" spans="1:7" x14ac:dyDescent="0.2">
      <c r="A450" s="113">
        <v>20.401988889999998</v>
      </c>
      <c r="B450" t="s">
        <v>322</v>
      </c>
      <c r="C450" s="5">
        <v>44481</v>
      </c>
      <c r="D450" t="s">
        <v>158</v>
      </c>
      <c r="E450" s="18">
        <v>0</v>
      </c>
      <c r="F450" s="18">
        <v>449.58520212000002</v>
      </c>
      <c r="G450" s="18">
        <v>0</v>
      </c>
    </row>
    <row r="451" spans="1:7" x14ac:dyDescent="0.2">
      <c r="A451" s="113">
        <v>27.958105920000001</v>
      </c>
      <c r="B451" t="s">
        <v>322</v>
      </c>
      <c r="C451" s="5">
        <v>44490</v>
      </c>
      <c r="D451" t="s">
        <v>158</v>
      </c>
      <c r="E451" s="18">
        <v>0</v>
      </c>
      <c r="F451" s="18">
        <v>449.58520212000002</v>
      </c>
      <c r="G451" s="18">
        <v>0</v>
      </c>
    </row>
    <row r="452" spans="1:7" x14ac:dyDescent="0.2">
      <c r="A452" s="113">
        <v>13.75903866</v>
      </c>
      <c r="B452" t="s">
        <v>322</v>
      </c>
      <c r="C452" s="5">
        <v>44514</v>
      </c>
      <c r="D452" t="s">
        <v>158</v>
      </c>
      <c r="E452" s="18">
        <v>0</v>
      </c>
      <c r="F452" s="18">
        <v>449.58520212000002</v>
      </c>
      <c r="G452" s="18">
        <v>0</v>
      </c>
    </row>
    <row r="453" spans="1:7" x14ac:dyDescent="0.2">
      <c r="A453" s="113">
        <v>19.583072000000001</v>
      </c>
      <c r="B453" t="s">
        <v>322</v>
      </c>
      <c r="C453" s="5">
        <v>44539</v>
      </c>
      <c r="D453" t="s">
        <v>150</v>
      </c>
      <c r="E453" s="18">
        <v>0</v>
      </c>
      <c r="F453" s="18">
        <v>449.58520212000002</v>
      </c>
      <c r="G453" s="18">
        <v>0</v>
      </c>
    </row>
    <row r="454" spans="1:7" x14ac:dyDescent="0.2">
      <c r="A454" s="113">
        <v>27043.72</v>
      </c>
      <c r="B454" t="s">
        <v>323</v>
      </c>
      <c r="C454" s="5">
        <v>44218</v>
      </c>
      <c r="D454" t="s">
        <v>124</v>
      </c>
      <c r="E454" s="18">
        <v>0</v>
      </c>
      <c r="F454" s="18">
        <v>8.5537429999999998E-2</v>
      </c>
      <c r="G454" s="18">
        <v>0</v>
      </c>
    </row>
    <row r="455" spans="1:7" x14ac:dyDescent="0.2">
      <c r="A455" s="113">
        <v>62.556308850000001</v>
      </c>
      <c r="B455" t="s">
        <v>324</v>
      </c>
      <c r="C455" s="5">
        <v>44234</v>
      </c>
      <c r="D455" t="s">
        <v>166</v>
      </c>
      <c r="E455" s="18">
        <v>0</v>
      </c>
      <c r="F455" s="18">
        <v>0.19796068999999999</v>
      </c>
      <c r="G455" s="18">
        <v>0</v>
      </c>
    </row>
    <row r="456" spans="1:7" x14ac:dyDescent="0.2">
      <c r="A456" s="113">
        <v>4909.5644404100003</v>
      </c>
      <c r="B456" t="s">
        <v>325</v>
      </c>
      <c r="C456" s="5">
        <v>44003</v>
      </c>
      <c r="D456" t="s">
        <v>147</v>
      </c>
      <c r="E456" s="18">
        <v>0</v>
      </c>
      <c r="F456" s="18">
        <v>5.6554886599999996</v>
      </c>
      <c r="G456" s="18">
        <v>0</v>
      </c>
    </row>
    <row r="457" spans="1:7" x14ac:dyDescent="0.2">
      <c r="A457" s="113">
        <v>7000</v>
      </c>
      <c r="B457" t="s">
        <v>325</v>
      </c>
      <c r="C457" s="5">
        <v>44028</v>
      </c>
      <c r="D457" t="s">
        <v>147</v>
      </c>
      <c r="E457" s="18">
        <v>0</v>
      </c>
      <c r="F457" s="18">
        <v>5.6554886599999996</v>
      </c>
      <c r="G457" s="18">
        <v>0</v>
      </c>
    </row>
    <row r="458" spans="1:7" x14ac:dyDescent="0.2">
      <c r="A458" s="113">
        <v>4.0000000000000003E-5</v>
      </c>
      <c r="B458" t="s">
        <v>326</v>
      </c>
      <c r="C458" s="5">
        <v>44047</v>
      </c>
      <c r="D458" t="s">
        <v>152</v>
      </c>
      <c r="E458" s="18">
        <v>0</v>
      </c>
      <c r="F458" s="18">
        <v>0.12967688999999999</v>
      </c>
      <c r="G458" s="18">
        <v>0</v>
      </c>
    </row>
    <row r="459" spans="1:7" x14ac:dyDescent="0.2">
      <c r="A459" s="113">
        <v>25000</v>
      </c>
      <c r="B459" t="s">
        <v>327</v>
      </c>
      <c r="C459" s="5">
        <v>44053</v>
      </c>
      <c r="D459" t="s">
        <v>328</v>
      </c>
      <c r="E459" s="18">
        <v>0</v>
      </c>
      <c r="F459" s="18">
        <v>8.7770000000000003E-4</v>
      </c>
      <c r="G459" s="18">
        <v>0</v>
      </c>
    </row>
    <row r="460" spans="1:7" x14ac:dyDescent="0.2">
      <c r="A460" s="113">
        <v>11179</v>
      </c>
      <c r="B460" t="s">
        <v>327</v>
      </c>
      <c r="C460" s="5">
        <v>44494</v>
      </c>
      <c r="D460" t="s">
        <v>328</v>
      </c>
      <c r="E460" s="18">
        <v>0</v>
      </c>
      <c r="F460" s="18">
        <v>8.7770000000000003E-4</v>
      </c>
      <c r="G460" s="18">
        <v>0</v>
      </c>
    </row>
    <row r="461" spans="1:7" x14ac:dyDescent="0.2">
      <c r="A461" s="113">
        <v>83500</v>
      </c>
      <c r="B461" t="s">
        <v>329</v>
      </c>
      <c r="C461" s="5">
        <v>44355</v>
      </c>
      <c r="D461" t="s">
        <v>152</v>
      </c>
      <c r="E461" s="18">
        <v>0</v>
      </c>
      <c r="F461" s="18">
        <v>0</v>
      </c>
      <c r="G461" s="18">
        <v>0</v>
      </c>
    </row>
    <row r="462" spans="1:7" x14ac:dyDescent="0.2">
      <c r="A462" s="113">
        <v>33166.64793847</v>
      </c>
      <c r="B462" t="s">
        <v>330</v>
      </c>
      <c r="C462" s="5">
        <v>44544</v>
      </c>
      <c r="D462" t="s">
        <v>152</v>
      </c>
      <c r="E462" s="18">
        <v>0</v>
      </c>
      <c r="F462" s="18">
        <v>0.99552768999999997</v>
      </c>
      <c r="G462" s="18">
        <v>0</v>
      </c>
    </row>
    <row r="463" spans="1:7" x14ac:dyDescent="0.2">
      <c r="A463" s="113">
        <v>2E-8</v>
      </c>
      <c r="B463" t="s">
        <v>331</v>
      </c>
      <c r="C463" s="5">
        <v>44158</v>
      </c>
      <c r="D463" t="s">
        <v>152</v>
      </c>
      <c r="E463" s="18">
        <v>0</v>
      </c>
      <c r="F463" s="18">
        <v>0</v>
      </c>
      <c r="G463" s="18">
        <v>0</v>
      </c>
    </row>
    <row r="464" spans="1:7" x14ac:dyDescent="0.2">
      <c r="A464" s="113">
        <v>29997</v>
      </c>
      <c r="B464" t="s">
        <v>332</v>
      </c>
      <c r="C464" s="5">
        <v>44244</v>
      </c>
      <c r="D464" t="s">
        <v>127</v>
      </c>
      <c r="E464" s="18">
        <v>0</v>
      </c>
      <c r="F464" s="18">
        <v>1.0296461800000001</v>
      </c>
      <c r="G464" s="18">
        <v>0</v>
      </c>
    </row>
    <row r="465" spans="1:7" x14ac:dyDescent="0.2">
      <c r="A465" s="113">
        <v>1.3E-7</v>
      </c>
      <c r="B465" t="s">
        <v>333</v>
      </c>
      <c r="C465" s="5">
        <v>44544</v>
      </c>
      <c r="D465" t="s">
        <v>184</v>
      </c>
      <c r="E465" s="18">
        <v>0</v>
      </c>
      <c r="F465" s="18">
        <v>8.3015424099999997</v>
      </c>
      <c r="G465" s="18">
        <v>0</v>
      </c>
    </row>
    <row r="466" spans="1:7" x14ac:dyDescent="0.2">
      <c r="A466" s="113">
        <v>7.4339999999999996E-4</v>
      </c>
      <c r="B466" t="s">
        <v>333</v>
      </c>
      <c r="C466" s="5">
        <v>44550</v>
      </c>
      <c r="D466" t="s">
        <v>184</v>
      </c>
      <c r="E466" s="18">
        <v>0</v>
      </c>
      <c r="F466" s="18">
        <v>8.3015424099999997</v>
      </c>
      <c r="G466" s="18">
        <v>0</v>
      </c>
    </row>
    <row r="467" spans="1:7" x14ac:dyDescent="0.2">
      <c r="A467" s="113">
        <v>16666.666669999999</v>
      </c>
      <c r="B467" t="s">
        <v>334</v>
      </c>
      <c r="C467" s="5">
        <v>44092</v>
      </c>
      <c r="D467" t="s">
        <v>147</v>
      </c>
      <c r="E467" s="18">
        <v>0</v>
      </c>
      <c r="F467" s="18">
        <v>2.4314909999999999E-2</v>
      </c>
      <c r="G467" s="18">
        <v>0</v>
      </c>
    </row>
    <row r="468" spans="1:7" x14ac:dyDescent="0.2">
      <c r="A468" s="113">
        <v>166640</v>
      </c>
      <c r="B468" t="s">
        <v>335</v>
      </c>
      <c r="C468" s="5">
        <v>44149</v>
      </c>
      <c r="D468" t="s">
        <v>122</v>
      </c>
      <c r="E468" s="18">
        <v>0</v>
      </c>
      <c r="F468" s="18">
        <v>0</v>
      </c>
      <c r="G468" s="18">
        <v>0</v>
      </c>
    </row>
    <row r="469" spans="1:7" x14ac:dyDescent="0.2">
      <c r="A469" s="113">
        <v>937500</v>
      </c>
      <c r="B469" t="s">
        <v>336</v>
      </c>
      <c r="C469" s="5">
        <v>44266</v>
      </c>
      <c r="D469" t="s">
        <v>122</v>
      </c>
      <c r="E469" s="18">
        <v>0</v>
      </c>
      <c r="F469" s="18">
        <v>6.0302400000000001E-3</v>
      </c>
      <c r="G469" s="18">
        <v>0</v>
      </c>
    </row>
    <row r="470" spans="1:7" x14ac:dyDescent="0.2">
      <c r="A470" s="113">
        <v>1</v>
      </c>
      <c r="B470" t="s">
        <v>337</v>
      </c>
      <c r="C470" s="5">
        <v>44538</v>
      </c>
      <c r="D470" t="s">
        <v>122</v>
      </c>
      <c r="E470" s="18">
        <v>0</v>
      </c>
      <c r="F470" s="18">
        <v>0</v>
      </c>
      <c r="G470" s="18">
        <v>0</v>
      </c>
    </row>
    <row r="471" spans="1:7" x14ac:dyDescent="0.2">
      <c r="A471" s="113">
        <v>11322.5</v>
      </c>
      <c r="B471" t="s">
        <v>338</v>
      </c>
      <c r="C471" s="5">
        <v>44365</v>
      </c>
      <c r="D471" t="s">
        <v>152</v>
      </c>
      <c r="E471" s="18">
        <v>0</v>
      </c>
      <c r="F471" s="18">
        <v>0.54162082</v>
      </c>
      <c r="G471" s="18">
        <v>0</v>
      </c>
    </row>
    <row r="472" spans="1:7" x14ac:dyDescent="0.2">
      <c r="A472" s="113">
        <v>51515.06</v>
      </c>
      <c r="B472" t="s">
        <v>339</v>
      </c>
      <c r="C472" s="5">
        <v>44314</v>
      </c>
      <c r="D472" t="s">
        <v>122</v>
      </c>
      <c r="E472" s="18">
        <v>0</v>
      </c>
      <c r="F472" s="18">
        <v>7.5897030000000004E-2</v>
      </c>
      <c r="G472" s="18">
        <v>0</v>
      </c>
    </row>
    <row r="473" spans="1:7" x14ac:dyDescent="0.2">
      <c r="A473" s="113">
        <v>5.16695E-3</v>
      </c>
      <c r="B473" t="s">
        <v>340</v>
      </c>
      <c r="C473" s="5">
        <v>44490</v>
      </c>
      <c r="D473" t="s">
        <v>150</v>
      </c>
      <c r="E473" s="18">
        <v>0</v>
      </c>
      <c r="F473" s="18">
        <v>4.0576600599999999</v>
      </c>
      <c r="G473" s="18">
        <v>0</v>
      </c>
    </row>
    <row r="474" spans="1:7" x14ac:dyDescent="0.2">
      <c r="A474" s="113">
        <v>15</v>
      </c>
      <c r="B474" t="s">
        <v>341</v>
      </c>
      <c r="C474" s="5">
        <v>44522</v>
      </c>
      <c r="D474" t="s">
        <v>152</v>
      </c>
      <c r="E474" s="18">
        <v>0</v>
      </c>
      <c r="F474" s="18">
        <v>0</v>
      </c>
      <c r="G474" s="18">
        <v>0</v>
      </c>
    </row>
    <row r="475" spans="1:7" x14ac:dyDescent="0.2">
      <c r="A475" s="113">
        <v>400.02565099999998</v>
      </c>
      <c r="B475" t="s">
        <v>342</v>
      </c>
      <c r="C475" s="5">
        <v>44250</v>
      </c>
      <c r="D475" t="s">
        <v>172</v>
      </c>
      <c r="E475" s="18">
        <v>0</v>
      </c>
      <c r="F475" s="18">
        <v>1.3786200000000001E-3</v>
      </c>
      <c r="G475" s="18">
        <v>0</v>
      </c>
    </row>
    <row r="476" spans="1:7" x14ac:dyDescent="0.2">
      <c r="A476" s="113">
        <v>0.31</v>
      </c>
      <c r="B476" t="s">
        <v>343</v>
      </c>
      <c r="C476" s="5">
        <v>44338</v>
      </c>
      <c r="D476" t="s">
        <v>150</v>
      </c>
      <c r="E476" s="18">
        <v>0</v>
      </c>
      <c r="F476" s="18">
        <v>66.834251559999998</v>
      </c>
      <c r="G476" s="18">
        <v>0</v>
      </c>
    </row>
    <row r="477" spans="1:7" x14ac:dyDescent="0.2">
      <c r="A477" s="113">
        <v>1250000</v>
      </c>
      <c r="B477" t="s">
        <v>344</v>
      </c>
      <c r="C477" s="5">
        <v>44514</v>
      </c>
      <c r="D477" t="s">
        <v>122</v>
      </c>
      <c r="E477" s="18">
        <v>0</v>
      </c>
      <c r="F477" s="18">
        <v>0.21982101000000001</v>
      </c>
      <c r="G477" s="18">
        <v>0</v>
      </c>
    </row>
    <row r="478" spans="1:7" x14ac:dyDescent="0.2">
      <c r="A478" s="113">
        <v>16556.38</v>
      </c>
      <c r="B478" t="s">
        <v>345</v>
      </c>
      <c r="C478" s="5">
        <v>43463</v>
      </c>
      <c r="D478" t="s">
        <v>295</v>
      </c>
      <c r="E478" s="18">
        <v>0</v>
      </c>
      <c r="F478" s="18">
        <v>0.50830048000000005</v>
      </c>
      <c r="G478" s="18">
        <v>0</v>
      </c>
    </row>
    <row r="479" spans="1:7" x14ac:dyDescent="0.2">
      <c r="A479" s="113">
        <v>14331.34</v>
      </c>
      <c r="B479" t="s">
        <v>345</v>
      </c>
      <c r="C479" s="5">
        <v>43531</v>
      </c>
      <c r="D479" t="s">
        <v>305</v>
      </c>
      <c r="E479" s="18">
        <v>0</v>
      </c>
      <c r="F479" s="18">
        <v>0.50830048000000005</v>
      </c>
      <c r="G479" s="18">
        <v>0</v>
      </c>
    </row>
    <row r="480" spans="1:7" x14ac:dyDescent="0.2">
      <c r="A480" s="113">
        <v>35399.760000000002</v>
      </c>
      <c r="B480" t="s">
        <v>345</v>
      </c>
      <c r="C480" s="5">
        <v>43576</v>
      </c>
      <c r="D480" t="s">
        <v>305</v>
      </c>
      <c r="E480" s="18">
        <v>0</v>
      </c>
      <c r="F480" s="18">
        <v>0.50830048000000005</v>
      </c>
      <c r="G480" s="18">
        <v>0</v>
      </c>
    </row>
    <row r="481" spans="1:7" x14ac:dyDescent="0.2">
      <c r="A481" s="113">
        <v>7468.34</v>
      </c>
      <c r="B481" t="s">
        <v>345</v>
      </c>
      <c r="C481" s="5">
        <v>43600</v>
      </c>
      <c r="D481" t="s">
        <v>305</v>
      </c>
      <c r="E481" s="18">
        <v>0</v>
      </c>
      <c r="F481" s="18">
        <v>0.50830048000000005</v>
      </c>
      <c r="G481" s="18">
        <v>0</v>
      </c>
    </row>
    <row r="482" spans="1:7" x14ac:dyDescent="0.2">
      <c r="A482" s="113">
        <v>41729.31</v>
      </c>
      <c r="B482" t="s">
        <v>345</v>
      </c>
      <c r="C482" s="5">
        <v>44111</v>
      </c>
      <c r="D482" t="s">
        <v>150</v>
      </c>
      <c r="E482" s="18">
        <v>0</v>
      </c>
      <c r="F482" s="18">
        <v>0.50830048000000005</v>
      </c>
      <c r="G482" s="18">
        <v>0</v>
      </c>
    </row>
    <row r="483" spans="1:7" x14ac:dyDescent="0.2">
      <c r="A483" s="113">
        <v>42272.07</v>
      </c>
      <c r="B483" t="s">
        <v>345</v>
      </c>
      <c r="C483" s="5">
        <v>44352</v>
      </c>
      <c r="D483" t="s">
        <v>150</v>
      </c>
      <c r="E483" s="18">
        <v>0</v>
      </c>
      <c r="F483" s="18">
        <v>0.50830048000000005</v>
      </c>
      <c r="G483" s="18">
        <v>0</v>
      </c>
    </row>
    <row r="484" spans="1:7" x14ac:dyDescent="0.2">
      <c r="A484" s="113">
        <v>76531.14</v>
      </c>
      <c r="B484" t="s">
        <v>345</v>
      </c>
      <c r="C484" s="5">
        <v>44358</v>
      </c>
      <c r="D484" t="s">
        <v>150</v>
      </c>
      <c r="E484" s="18">
        <v>0</v>
      </c>
      <c r="F484" s="18">
        <v>0.50830048000000005</v>
      </c>
      <c r="G484" s="18">
        <v>0</v>
      </c>
    </row>
    <row r="485" spans="1:7" x14ac:dyDescent="0.2">
      <c r="A485" s="113">
        <v>109248.2</v>
      </c>
      <c r="B485" t="s">
        <v>345</v>
      </c>
      <c r="C485" s="5">
        <v>44399</v>
      </c>
      <c r="D485" t="s">
        <v>150</v>
      </c>
      <c r="E485" s="18">
        <v>0</v>
      </c>
      <c r="F485" s="18">
        <v>0.50830048000000005</v>
      </c>
      <c r="G485" s="18">
        <v>0</v>
      </c>
    </row>
    <row r="486" spans="1:7" x14ac:dyDescent="0.2">
      <c r="A486" s="113">
        <v>5.2800000000000003E-6</v>
      </c>
      <c r="B486" t="s">
        <v>346</v>
      </c>
      <c r="C486" s="5">
        <v>44015</v>
      </c>
      <c r="D486" t="s">
        <v>305</v>
      </c>
      <c r="E486" s="18">
        <v>0</v>
      </c>
      <c r="F486" s="18">
        <v>1.9831893899999999</v>
      </c>
      <c r="G486" s="18">
        <v>0</v>
      </c>
    </row>
    <row r="487" spans="1:7" x14ac:dyDescent="0.2">
      <c r="A487" s="113">
        <v>45.433278090000002</v>
      </c>
      <c r="B487" t="s">
        <v>347</v>
      </c>
      <c r="C487" s="5">
        <v>44221</v>
      </c>
      <c r="D487" t="s">
        <v>150</v>
      </c>
      <c r="E487" s="18">
        <v>0</v>
      </c>
      <c r="F487" s="18">
        <v>1.78049558</v>
      </c>
      <c r="G487" s="18">
        <v>0</v>
      </c>
    </row>
    <row r="488" spans="1:7" x14ac:dyDescent="0.2">
      <c r="A488" s="113">
        <v>1</v>
      </c>
      <c r="B488" t="s">
        <v>348</v>
      </c>
      <c r="C488" s="5">
        <v>44459</v>
      </c>
      <c r="D488" t="s">
        <v>158</v>
      </c>
      <c r="E488" s="18">
        <v>0</v>
      </c>
      <c r="F488" s="18">
        <v>0</v>
      </c>
      <c r="G488" s="18">
        <v>0</v>
      </c>
    </row>
    <row r="489" spans="1:7" x14ac:dyDescent="0.2">
      <c r="A489" s="113">
        <v>1</v>
      </c>
      <c r="B489" t="s">
        <v>348</v>
      </c>
      <c r="C489" s="5">
        <v>44474</v>
      </c>
      <c r="D489" t="s">
        <v>349</v>
      </c>
      <c r="E489" s="18">
        <v>0</v>
      </c>
      <c r="F489" s="18">
        <v>0</v>
      </c>
      <c r="G489" s="18">
        <v>0</v>
      </c>
    </row>
    <row r="490" spans="1:7" x14ac:dyDescent="0.2">
      <c r="A490" s="113">
        <v>1</v>
      </c>
      <c r="B490" t="s">
        <v>348</v>
      </c>
      <c r="C490" s="5">
        <v>44474</v>
      </c>
      <c r="D490" t="s">
        <v>158</v>
      </c>
      <c r="E490" s="18">
        <v>0</v>
      </c>
      <c r="F490" s="18">
        <v>0</v>
      </c>
      <c r="G490" s="18">
        <v>0</v>
      </c>
    </row>
    <row r="491" spans="1:7" x14ac:dyDescent="0.2">
      <c r="A491" s="113">
        <v>1</v>
      </c>
      <c r="B491" t="s">
        <v>348</v>
      </c>
      <c r="C491" s="5">
        <v>44480</v>
      </c>
      <c r="D491" t="s">
        <v>350</v>
      </c>
      <c r="E491" s="18">
        <v>0</v>
      </c>
      <c r="F491" s="18">
        <v>0</v>
      </c>
      <c r="G491" s="18">
        <v>0</v>
      </c>
    </row>
    <row r="492" spans="1:7" x14ac:dyDescent="0.2">
      <c r="A492" s="113">
        <v>1</v>
      </c>
      <c r="B492" t="s">
        <v>348</v>
      </c>
      <c r="C492" s="5">
        <v>44480</v>
      </c>
      <c r="D492" t="s">
        <v>351</v>
      </c>
      <c r="E492" s="18">
        <v>0</v>
      </c>
      <c r="F492" s="18">
        <v>0</v>
      </c>
      <c r="G492" s="18">
        <v>0</v>
      </c>
    </row>
    <row r="493" spans="1:7" x14ac:dyDescent="0.2">
      <c r="A493" s="113">
        <v>1</v>
      </c>
      <c r="B493" t="s">
        <v>348</v>
      </c>
      <c r="C493" s="5">
        <v>44501</v>
      </c>
      <c r="D493" t="s">
        <v>351</v>
      </c>
      <c r="E493" s="18">
        <v>0</v>
      </c>
      <c r="F493" s="18">
        <v>0</v>
      </c>
      <c r="G493" s="18">
        <v>0</v>
      </c>
    </row>
    <row r="494" spans="1:7" x14ac:dyDescent="0.2">
      <c r="A494" s="113">
        <v>1</v>
      </c>
      <c r="B494" t="s">
        <v>348</v>
      </c>
      <c r="C494" s="5">
        <v>44501</v>
      </c>
      <c r="D494" t="s">
        <v>158</v>
      </c>
      <c r="E494" s="18">
        <v>0</v>
      </c>
      <c r="F494" s="18">
        <v>0</v>
      </c>
      <c r="G494" s="18">
        <v>0</v>
      </c>
    </row>
    <row r="495" spans="1:7" x14ac:dyDescent="0.2">
      <c r="A495" s="113">
        <v>1</v>
      </c>
      <c r="B495" t="s">
        <v>348</v>
      </c>
      <c r="C495" s="5">
        <v>44511</v>
      </c>
      <c r="D495" t="s">
        <v>352</v>
      </c>
      <c r="E495" s="18">
        <v>0</v>
      </c>
      <c r="F495" s="18">
        <v>0</v>
      </c>
      <c r="G495" s="18">
        <v>0</v>
      </c>
    </row>
    <row r="496" spans="1:7" x14ac:dyDescent="0.2">
      <c r="A496" s="113">
        <v>2.3699999999999999E-2</v>
      </c>
      <c r="B496" t="s">
        <v>353</v>
      </c>
      <c r="C496" s="5">
        <v>43347</v>
      </c>
      <c r="D496" t="s">
        <v>295</v>
      </c>
      <c r="E496" s="18">
        <v>0</v>
      </c>
      <c r="F496" s="18">
        <v>1.1670271699999999</v>
      </c>
      <c r="G496" s="18">
        <v>0</v>
      </c>
    </row>
    <row r="497" spans="1:7" x14ac:dyDescent="0.2">
      <c r="A497" s="113">
        <v>0.15</v>
      </c>
      <c r="B497" t="s">
        <v>354</v>
      </c>
      <c r="C497" s="5">
        <v>44336</v>
      </c>
      <c r="D497" t="s">
        <v>132</v>
      </c>
      <c r="E497" s="18">
        <v>0</v>
      </c>
      <c r="F497" s="18">
        <v>0</v>
      </c>
      <c r="G497" s="18">
        <v>0</v>
      </c>
    </row>
    <row r="498" spans="1:7" x14ac:dyDescent="0.2">
      <c r="A498" s="113">
        <v>11528.006900300001</v>
      </c>
      <c r="B498" t="s">
        <v>355</v>
      </c>
      <c r="C498" s="5">
        <v>43781</v>
      </c>
      <c r="D498" t="s">
        <v>305</v>
      </c>
      <c r="E498" s="18">
        <v>0</v>
      </c>
      <c r="F498" s="18">
        <v>5.5056799999999998E-3</v>
      </c>
      <c r="G498" s="18">
        <v>0</v>
      </c>
    </row>
    <row r="499" spans="1:7" x14ac:dyDescent="0.2">
      <c r="A499" s="113">
        <v>990000</v>
      </c>
      <c r="B499" t="s">
        <v>356</v>
      </c>
      <c r="C499" s="5">
        <v>44271</v>
      </c>
      <c r="D499" t="s">
        <v>122</v>
      </c>
      <c r="E499" s="18">
        <v>0</v>
      </c>
      <c r="F499" s="18">
        <v>9.9664829999999996E-2</v>
      </c>
      <c r="G499" s="18">
        <v>0</v>
      </c>
    </row>
    <row r="500" spans="1:7" x14ac:dyDescent="0.2">
      <c r="A500" s="113">
        <v>3382062.05</v>
      </c>
      <c r="B500" t="s">
        <v>357</v>
      </c>
      <c r="C500" s="5">
        <v>44376</v>
      </c>
      <c r="D500" t="s">
        <v>122</v>
      </c>
      <c r="E500" s="18">
        <v>0</v>
      </c>
      <c r="F500" s="18">
        <v>5.3429150000000002E-2</v>
      </c>
      <c r="G500" s="18">
        <v>0</v>
      </c>
    </row>
    <row r="501" spans="1:7" x14ac:dyDescent="0.2">
      <c r="A501" s="113">
        <v>350000</v>
      </c>
      <c r="B501" t="s">
        <v>357</v>
      </c>
      <c r="C501" s="5">
        <v>44450</v>
      </c>
      <c r="D501" t="s">
        <v>158</v>
      </c>
      <c r="E501" s="18">
        <v>0</v>
      </c>
      <c r="F501" s="18">
        <v>5.3429150000000002E-2</v>
      </c>
      <c r="G501" s="18">
        <v>0</v>
      </c>
    </row>
    <row r="502" spans="1:7" x14ac:dyDescent="0.2">
      <c r="A502" s="113">
        <v>29388.04535371</v>
      </c>
      <c r="B502" t="s">
        <v>358</v>
      </c>
      <c r="C502" s="5">
        <v>44482</v>
      </c>
      <c r="D502" t="s">
        <v>152</v>
      </c>
      <c r="E502" s="18">
        <v>0</v>
      </c>
      <c r="F502" s="18">
        <v>0.49858564999999999</v>
      </c>
      <c r="G502" s="18">
        <v>0</v>
      </c>
    </row>
    <row r="503" spans="1:7" x14ac:dyDescent="0.2">
      <c r="A503" s="113">
        <v>107.29822194</v>
      </c>
      <c r="B503" t="s">
        <v>359</v>
      </c>
      <c r="C503" s="5">
        <v>44536</v>
      </c>
      <c r="D503" t="s">
        <v>145</v>
      </c>
      <c r="E503" s="18">
        <v>0</v>
      </c>
      <c r="F503" s="18">
        <v>2.2201947099999999</v>
      </c>
      <c r="G503" s="18">
        <v>0</v>
      </c>
    </row>
    <row r="504" spans="1:7" x14ac:dyDescent="0.2">
      <c r="A504" s="113">
        <v>469886.71064</v>
      </c>
      <c r="B504" t="s">
        <v>360</v>
      </c>
      <c r="C504" s="5">
        <v>44078</v>
      </c>
      <c r="D504" t="s">
        <v>124</v>
      </c>
      <c r="E504" s="18">
        <v>0</v>
      </c>
      <c r="F504" s="18">
        <v>1.0030499999999999E-3</v>
      </c>
      <c r="G504" s="18">
        <v>0</v>
      </c>
    </row>
    <row r="505" spans="1:7" x14ac:dyDescent="0.2">
      <c r="A505" s="113">
        <v>12317.95803</v>
      </c>
      <c r="B505" t="s">
        <v>361</v>
      </c>
      <c r="C505" s="5">
        <v>44252</v>
      </c>
      <c r="D505" t="s">
        <v>152</v>
      </c>
      <c r="E505" s="18">
        <v>0</v>
      </c>
      <c r="F505" s="18">
        <v>7.6150499999999996E-2</v>
      </c>
      <c r="G505" s="18">
        <v>0</v>
      </c>
    </row>
    <row r="506" spans="1:7" x14ac:dyDescent="0.2">
      <c r="A506" s="113">
        <v>1567.8862489999999</v>
      </c>
      <c r="B506" t="s">
        <v>361</v>
      </c>
      <c r="C506" s="5">
        <v>44357</v>
      </c>
      <c r="D506" t="s">
        <v>152</v>
      </c>
      <c r="E506" s="18">
        <v>0</v>
      </c>
      <c r="F506" s="18">
        <v>7.6150499999999996E-2</v>
      </c>
      <c r="G506" s="18">
        <v>0</v>
      </c>
    </row>
    <row r="507" spans="1:7" x14ac:dyDescent="0.2">
      <c r="A507" s="113">
        <v>3459.6249068500001</v>
      </c>
      <c r="B507" t="s">
        <v>361</v>
      </c>
      <c r="C507" s="5">
        <v>44457</v>
      </c>
      <c r="D507" t="s">
        <v>362</v>
      </c>
      <c r="E507" s="18">
        <v>0</v>
      </c>
      <c r="F507" s="18">
        <v>7.6150499999999996E-2</v>
      </c>
      <c r="G507" s="18">
        <v>0</v>
      </c>
    </row>
    <row r="508" spans="1:7" x14ac:dyDescent="0.2">
      <c r="A508" s="113">
        <v>100000</v>
      </c>
      <c r="B508" t="s">
        <v>363</v>
      </c>
      <c r="C508" s="5">
        <v>44325</v>
      </c>
      <c r="D508" t="s">
        <v>122</v>
      </c>
      <c r="E508" s="18">
        <v>0</v>
      </c>
      <c r="F508" s="18">
        <v>2.239412E-2</v>
      </c>
      <c r="G508" s="18">
        <v>0</v>
      </c>
    </row>
    <row r="509" spans="1:7" x14ac:dyDescent="0.2">
      <c r="A509" s="113">
        <v>430.3048665</v>
      </c>
      <c r="B509" t="s">
        <v>364</v>
      </c>
      <c r="C509" s="5">
        <v>44462</v>
      </c>
      <c r="D509" t="s">
        <v>166</v>
      </c>
      <c r="E509" s="18">
        <v>0</v>
      </c>
      <c r="F509" s="18">
        <v>0.23599461999999999</v>
      </c>
      <c r="G509" s="18">
        <v>0</v>
      </c>
    </row>
    <row r="510" spans="1:7" x14ac:dyDescent="0.2">
      <c r="A510" s="113">
        <v>134621.4852</v>
      </c>
      <c r="B510" t="s">
        <v>365</v>
      </c>
      <c r="C510" s="5">
        <v>44550</v>
      </c>
      <c r="D510" t="s">
        <v>184</v>
      </c>
      <c r="E510" s="18">
        <v>0</v>
      </c>
      <c r="F510" s="18">
        <v>1.0549040000000001E-2</v>
      </c>
      <c r="G510" s="18">
        <v>0</v>
      </c>
    </row>
    <row r="511" spans="1:7" x14ac:dyDescent="0.2">
      <c r="A511" s="113">
        <v>304887.92090000003</v>
      </c>
      <c r="B511" t="s">
        <v>365</v>
      </c>
      <c r="C511" s="5">
        <v>44561</v>
      </c>
      <c r="D511" t="s">
        <v>184</v>
      </c>
      <c r="E511" s="18">
        <v>0</v>
      </c>
      <c r="F511" s="18">
        <v>1.0549040000000001E-2</v>
      </c>
      <c r="G511" s="18">
        <v>0</v>
      </c>
    </row>
    <row r="512" spans="1:7" x14ac:dyDescent="0.2">
      <c r="A512" s="113">
        <v>1.29</v>
      </c>
      <c r="B512" t="s">
        <v>366</v>
      </c>
      <c r="C512" s="5">
        <v>44230</v>
      </c>
      <c r="D512" t="s">
        <v>150</v>
      </c>
      <c r="E512" s="18">
        <v>0</v>
      </c>
      <c r="F512" s="18">
        <v>4.4121606099999999</v>
      </c>
      <c r="G512" s="18">
        <v>0</v>
      </c>
    </row>
    <row r="513" spans="1:7" x14ac:dyDescent="0.2">
      <c r="A513" s="113">
        <v>311</v>
      </c>
      <c r="B513" t="s">
        <v>367</v>
      </c>
      <c r="C513" s="5">
        <v>44231</v>
      </c>
      <c r="D513" t="s">
        <v>150</v>
      </c>
      <c r="E513" s="18">
        <v>0</v>
      </c>
      <c r="F513" s="18">
        <v>0.14967411999999999</v>
      </c>
      <c r="G513" s="18">
        <v>0</v>
      </c>
    </row>
    <row r="514" spans="1:7" x14ac:dyDescent="0.2">
      <c r="A514" s="113">
        <v>1</v>
      </c>
      <c r="B514" t="s">
        <v>368</v>
      </c>
      <c r="C514" s="5">
        <v>44295</v>
      </c>
      <c r="D514" t="s">
        <v>122</v>
      </c>
      <c r="E514" s="18">
        <v>0</v>
      </c>
      <c r="F514" s="18">
        <v>0.20104883000000001</v>
      </c>
      <c r="G514" s="18">
        <v>0</v>
      </c>
    </row>
    <row r="739" spans="1:1" x14ac:dyDescent="0.2">
      <c r="A739" s="127"/>
    </row>
  </sheetData>
  <pageMargins left="0.7" right="0.7" top="0.75" bottom="0.75" header="0.3" footer="0.3"/>
  <pageSetup paperSize="9" scale="64" fitToHeight="1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89635-368B-4645-9FB4-ED8BF32523F5}">
  <sheetPr codeName="Tabelle11">
    <tabColor theme="9" tint="0.59999389629810485"/>
    <pageSetUpPr fitToPage="1"/>
  </sheetPr>
  <dimension ref="A1:P219"/>
  <sheetViews>
    <sheetView tabSelected="1" view="pageBreakPreview" zoomScaleNormal="100" zoomScaleSheetLayoutView="100" workbookViewId="0">
      <selection activeCell="I5" sqref="I5"/>
    </sheetView>
  </sheetViews>
  <sheetFormatPr baseColWidth="10" defaultRowHeight="15" x14ac:dyDescent="0.2"/>
  <cols>
    <col min="1" max="1" width="26.33203125" style="124" customWidth="1"/>
    <col min="2" max="2" width="9" style="82" customWidth="1"/>
    <col min="3" max="4" width="0" style="82" hidden="1" customWidth="1"/>
    <col min="5" max="5" width="14.5" style="19" bestFit="1" customWidth="1"/>
    <col min="6" max="6" width="14.5" style="19" hidden="1" customWidth="1"/>
    <col min="7" max="7" width="16.5" style="19" bestFit="1" customWidth="1"/>
    <col min="8" max="8" width="19.83203125" style="19" bestFit="1" customWidth="1"/>
    <col min="9" max="9" width="20" style="19" bestFit="1" customWidth="1"/>
    <col min="10" max="10" width="2.33203125" style="82" customWidth="1"/>
    <col min="11" max="16384" width="10.83203125" style="82"/>
  </cols>
  <sheetData>
    <row r="1" spans="1:16" ht="29" x14ac:dyDescent="0.35">
      <c r="A1" s="81" t="s">
        <v>95</v>
      </c>
      <c r="E1" s="83"/>
      <c r="F1" s="83"/>
      <c r="G1" s="83"/>
      <c r="H1" s="83"/>
      <c r="I1" s="83"/>
      <c r="K1" s="119" t="s">
        <v>97</v>
      </c>
    </row>
    <row r="2" spans="1:16" ht="19" x14ac:dyDescent="0.25">
      <c r="A2" s="84" t="s">
        <v>17</v>
      </c>
      <c r="E2" s="83"/>
      <c r="F2" s="83"/>
      <c r="G2" s="83"/>
      <c r="H2" s="83"/>
      <c r="I2" s="83"/>
      <c r="K2" s="120" t="s">
        <v>115</v>
      </c>
      <c r="P2" s="85"/>
    </row>
    <row r="3" spans="1:16" ht="19" x14ac:dyDescent="0.25">
      <c r="A3" s="86"/>
      <c r="E3" s="83"/>
      <c r="F3" s="83"/>
      <c r="G3" s="83"/>
      <c r="H3" s="83"/>
      <c r="I3" s="83"/>
      <c r="K3" s="120" t="s">
        <v>98</v>
      </c>
      <c r="P3" s="85"/>
    </row>
    <row r="4" spans="1:16" x14ac:dyDescent="0.2">
      <c r="A4" s="82"/>
      <c r="E4" s="83"/>
      <c r="F4" s="83"/>
      <c r="G4" s="83"/>
      <c r="H4" s="83"/>
      <c r="I4" s="83"/>
    </row>
    <row r="5" spans="1:16" s="84" customFormat="1" ht="29" x14ac:dyDescent="0.35">
      <c r="A5" s="81">
        <f>Zusammenfassung!A4</f>
        <v>2021</v>
      </c>
      <c r="E5" s="87"/>
      <c r="F5" s="87"/>
      <c r="G5" s="87"/>
      <c r="H5" s="87"/>
      <c r="I5" s="87"/>
    </row>
    <row r="6" spans="1:16" x14ac:dyDescent="0.2">
      <c r="A6" s="82"/>
      <c r="E6" s="83"/>
      <c r="F6" s="83"/>
      <c r="G6" s="83"/>
      <c r="H6" s="83"/>
      <c r="I6" s="83"/>
    </row>
    <row r="7" spans="1:16" x14ac:dyDescent="0.2">
      <c r="A7" s="82" t="s">
        <v>3</v>
      </c>
      <c r="B7" s="82" t="s">
        <v>4</v>
      </c>
      <c r="C7" s="82" t="s">
        <v>79</v>
      </c>
      <c r="D7" s="82" t="s">
        <v>93</v>
      </c>
      <c r="E7" s="83" t="s">
        <v>6</v>
      </c>
      <c r="F7" s="88" t="s">
        <v>94</v>
      </c>
      <c r="G7" s="83" t="s">
        <v>7</v>
      </c>
      <c r="H7" s="83" t="s">
        <v>8</v>
      </c>
      <c r="I7" s="83" t="s">
        <v>9</v>
      </c>
    </row>
    <row r="8" spans="1:16" x14ac:dyDescent="0.2">
      <c r="A8">
        <v>733017</v>
      </c>
      <c r="B8" t="s">
        <v>252</v>
      </c>
      <c r="C8"/>
      <c r="D8"/>
      <c r="E8" t="s">
        <v>369</v>
      </c>
      <c r="F8"/>
      <c r="G8" t="s">
        <v>369</v>
      </c>
      <c r="H8" t="s">
        <v>370</v>
      </c>
      <c r="I8" t="s">
        <v>370</v>
      </c>
    </row>
    <row r="9" spans="1:16" x14ac:dyDescent="0.2">
      <c r="A9">
        <v>65426.13080649</v>
      </c>
      <c r="B9" t="s">
        <v>296</v>
      </c>
      <c r="C9"/>
      <c r="D9"/>
      <c r="E9" t="s">
        <v>369</v>
      </c>
      <c r="F9"/>
      <c r="G9" t="s">
        <v>369</v>
      </c>
      <c r="H9" t="s">
        <v>371</v>
      </c>
      <c r="I9" t="s">
        <v>371</v>
      </c>
    </row>
    <row r="10" spans="1:16" x14ac:dyDescent="0.2">
      <c r="A10">
        <v>36179</v>
      </c>
      <c r="B10" t="s">
        <v>327</v>
      </c>
      <c r="C10"/>
      <c r="D10"/>
      <c r="E10" t="s">
        <v>369</v>
      </c>
      <c r="F10"/>
      <c r="G10" t="s">
        <v>369</v>
      </c>
      <c r="H10" t="s">
        <v>372</v>
      </c>
      <c r="I10" t="s">
        <v>372</v>
      </c>
    </row>
    <row r="11" spans="1:16" x14ac:dyDescent="0.2">
      <c r="A11">
        <v>33166.64793847</v>
      </c>
      <c r="B11" t="s">
        <v>330</v>
      </c>
      <c r="C11"/>
      <c r="D11"/>
      <c r="E11" t="s">
        <v>369</v>
      </c>
      <c r="F11"/>
      <c r="G11" t="s">
        <v>369</v>
      </c>
      <c r="H11" t="s">
        <v>373</v>
      </c>
      <c r="I11" t="s">
        <v>373</v>
      </c>
    </row>
    <row r="12" spans="1:16" x14ac:dyDescent="0.2">
      <c r="A12">
        <v>1250000</v>
      </c>
      <c r="B12" t="s">
        <v>344</v>
      </c>
      <c r="C12"/>
      <c r="D12"/>
      <c r="E12" t="s">
        <v>369</v>
      </c>
      <c r="F12"/>
      <c r="G12" t="s">
        <v>369</v>
      </c>
      <c r="H12" t="s">
        <v>374</v>
      </c>
      <c r="I12" t="s">
        <v>374</v>
      </c>
    </row>
    <row r="13" spans="1:16" x14ac:dyDescent="0.2">
      <c r="A13">
        <v>103842</v>
      </c>
      <c r="B13" t="s">
        <v>304</v>
      </c>
      <c r="C13"/>
      <c r="D13"/>
      <c r="E13" t="s">
        <v>369</v>
      </c>
      <c r="F13"/>
      <c r="G13" t="s">
        <v>369</v>
      </c>
      <c r="H13" t="s">
        <v>375</v>
      </c>
      <c r="I13" t="s">
        <v>375</v>
      </c>
    </row>
    <row r="14" spans="1:16" x14ac:dyDescent="0.2">
      <c r="A14">
        <v>33200</v>
      </c>
      <c r="B14" t="s">
        <v>240</v>
      </c>
      <c r="C14"/>
      <c r="D14"/>
      <c r="E14" t="s">
        <v>369</v>
      </c>
      <c r="F14"/>
      <c r="G14" t="s">
        <v>369</v>
      </c>
      <c r="H14" t="s">
        <v>376</v>
      </c>
      <c r="I14" t="s">
        <v>376</v>
      </c>
    </row>
    <row r="15" spans="1:16" x14ac:dyDescent="0.2">
      <c r="A15">
        <v>292.48899999999998</v>
      </c>
      <c r="B15" t="s">
        <v>311</v>
      </c>
      <c r="C15"/>
      <c r="D15"/>
      <c r="E15" t="s">
        <v>369</v>
      </c>
      <c r="F15"/>
      <c r="G15" t="s">
        <v>369</v>
      </c>
      <c r="H15" t="s">
        <v>377</v>
      </c>
      <c r="I15" t="s">
        <v>377</v>
      </c>
    </row>
    <row r="16" spans="1:16" x14ac:dyDescent="0.2">
      <c r="A16">
        <v>169934.90921136999</v>
      </c>
      <c r="B16" t="s">
        <v>164</v>
      </c>
      <c r="C16"/>
      <c r="D16"/>
      <c r="E16" t="s">
        <v>369</v>
      </c>
      <c r="F16"/>
      <c r="G16" t="s">
        <v>369</v>
      </c>
      <c r="H16" t="s">
        <v>378</v>
      </c>
      <c r="I16" t="s">
        <v>378</v>
      </c>
    </row>
    <row r="17" spans="1:9" x14ac:dyDescent="0.2">
      <c r="A17">
        <v>0.26869999999999999</v>
      </c>
      <c r="B17" t="s">
        <v>198</v>
      </c>
      <c r="C17"/>
      <c r="D17"/>
      <c r="E17" t="s">
        <v>369</v>
      </c>
      <c r="F17"/>
      <c r="G17" t="s">
        <v>369</v>
      </c>
      <c r="H17" t="s">
        <v>379</v>
      </c>
      <c r="I17" t="s">
        <v>379</v>
      </c>
    </row>
    <row r="18" spans="1:9" x14ac:dyDescent="0.2">
      <c r="A18">
        <v>29997</v>
      </c>
      <c r="B18" t="s">
        <v>332</v>
      </c>
      <c r="C18"/>
      <c r="D18"/>
      <c r="E18" t="s">
        <v>369</v>
      </c>
      <c r="F18"/>
      <c r="G18" t="s">
        <v>369</v>
      </c>
      <c r="H18" t="s">
        <v>380</v>
      </c>
      <c r="I18" t="s">
        <v>380</v>
      </c>
    </row>
    <row r="19" spans="1:9" x14ac:dyDescent="0.2">
      <c r="A19">
        <v>3159267.22</v>
      </c>
      <c r="B19" t="s">
        <v>125</v>
      </c>
      <c r="C19"/>
      <c r="D19"/>
      <c r="E19" t="s">
        <v>369</v>
      </c>
      <c r="F19"/>
      <c r="G19" t="s">
        <v>369</v>
      </c>
      <c r="H19" t="s">
        <v>381</v>
      </c>
      <c r="I19" t="s">
        <v>381</v>
      </c>
    </row>
    <row r="20" spans="1:9" x14ac:dyDescent="0.2">
      <c r="A20">
        <v>6.8529999999999998</v>
      </c>
      <c r="B20" t="s">
        <v>287</v>
      </c>
      <c r="C20"/>
      <c r="D20"/>
      <c r="E20" t="s">
        <v>369</v>
      </c>
      <c r="F20"/>
      <c r="G20" t="s">
        <v>369</v>
      </c>
      <c r="H20" t="s">
        <v>369</v>
      </c>
      <c r="I20" t="s">
        <v>369</v>
      </c>
    </row>
    <row r="21" spans="1:9" x14ac:dyDescent="0.2">
      <c r="A21">
        <v>0.1</v>
      </c>
      <c r="B21" t="s">
        <v>140</v>
      </c>
      <c r="C21"/>
      <c r="D21"/>
      <c r="E21" t="s">
        <v>369</v>
      </c>
      <c r="F21"/>
      <c r="G21" t="s">
        <v>369</v>
      </c>
      <c r="H21" t="s">
        <v>382</v>
      </c>
      <c r="I21" t="s">
        <v>382</v>
      </c>
    </row>
    <row r="22" spans="1:9" x14ac:dyDescent="0.2">
      <c r="A22">
        <v>41666.666666669997</v>
      </c>
      <c r="B22" t="s">
        <v>249</v>
      </c>
      <c r="C22"/>
      <c r="D22"/>
      <c r="E22" t="s">
        <v>369</v>
      </c>
      <c r="F22"/>
      <c r="G22" t="s">
        <v>369</v>
      </c>
      <c r="H22" t="s">
        <v>383</v>
      </c>
      <c r="I22" t="s">
        <v>383</v>
      </c>
    </row>
    <row r="23" spans="1:9" x14ac:dyDescent="0.2">
      <c r="A23">
        <v>13333</v>
      </c>
      <c r="B23" t="s">
        <v>137</v>
      </c>
      <c r="C23"/>
      <c r="D23"/>
      <c r="E23" t="s">
        <v>369</v>
      </c>
      <c r="F23"/>
      <c r="G23" t="s">
        <v>369</v>
      </c>
      <c r="H23" t="s">
        <v>384</v>
      </c>
      <c r="I23" t="s">
        <v>384</v>
      </c>
    </row>
    <row r="24" spans="1:9" x14ac:dyDescent="0.2">
      <c r="A24">
        <v>200000</v>
      </c>
      <c r="B24" t="s">
        <v>285</v>
      </c>
      <c r="C24"/>
      <c r="D24"/>
      <c r="E24" t="s">
        <v>369</v>
      </c>
      <c r="F24"/>
      <c r="G24" t="s">
        <v>369</v>
      </c>
      <c r="H24" t="s">
        <v>385</v>
      </c>
      <c r="I24" t="s">
        <v>385</v>
      </c>
    </row>
    <row r="25" spans="1:9" x14ac:dyDescent="0.2">
      <c r="A25">
        <v>1.29</v>
      </c>
      <c r="B25" t="s">
        <v>366</v>
      </c>
      <c r="C25"/>
      <c r="D25"/>
      <c r="E25" t="s">
        <v>369</v>
      </c>
      <c r="F25"/>
      <c r="G25" t="s">
        <v>369</v>
      </c>
      <c r="H25" t="s">
        <v>386</v>
      </c>
      <c r="I25" t="s">
        <v>386</v>
      </c>
    </row>
    <row r="26" spans="1:9" x14ac:dyDescent="0.2">
      <c r="A26">
        <v>33333.33</v>
      </c>
      <c r="B26" t="s">
        <v>230</v>
      </c>
      <c r="C26"/>
      <c r="D26"/>
      <c r="E26" t="s">
        <v>369</v>
      </c>
      <c r="F26"/>
      <c r="G26" t="s">
        <v>369</v>
      </c>
      <c r="H26" t="s">
        <v>387</v>
      </c>
      <c r="I26" t="s">
        <v>387</v>
      </c>
    </row>
    <row r="27" spans="1:9" x14ac:dyDescent="0.2">
      <c r="A27">
        <v>343536.54</v>
      </c>
      <c r="B27" t="s">
        <v>345</v>
      </c>
      <c r="C27"/>
      <c r="D27"/>
      <c r="E27" t="s">
        <v>369</v>
      </c>
      <c r="F27"/>
      <c r="G27" t="s">
        <v>369</v>
      </c>
      <c r="H27" t="s">
        <v>388</v>
      </c>
      <c r="I27" t="s">
        <v>388</v>
      </c>
    </row>
    <row r="28" spans="1:9" x14ac:dyDescent="0.2">
      <c r="A28">
        <v>0.25996540000000001</v>
      </c>
      <c r="B28" t="s">
        <v>149</v>
      </c>
      <c r="C28"/>
      <c r="D28"/>
      <c r="E28" t="s">
        <v>369</v>
      </c>
      <c r="F28"/>
      <c r="G28" t="s">
        <v>369</v>
      </c>
      <c r="H28" t="s">
        <v>389</v>
      </c>
      <c r="I28" t="s">
        <v>389</v>
      </c>
    </row>
    <row r="29" spans="1:9" x14ac:dyDescent="0.2">
      <c r="A29">
        <v>169939.07417198</v>
      </c>
      <c r="B29" t="s">
        <v>270</v>
      </c>
      <c r="C29"/>
      <c r="D29"/>
      <c r="E29" t="s">
        <v>369</v>
      </c>
      <c r="F29"/>
      <c r="G29" t="s">
        <v>369</v>
      </c>
      <c r="H29" t="s">
        <v>390</v>
      </c>
      <c r="I29" t="s">
        <v>390</v>
      </c>
    </row>
    <row r="30" spans="1:9" x14ac:dyDescent="0.2">
      <c r="A30">
        <v>868000</v>
      </c>
      <c r="B30" t="s">
        <v>298</v>
      </c>
      <c r="C30"/>
      <c r="D30"/>
      <c r="E30" t="s">
        <v>369</v>
      </c>
      <c r="F30"/>
      <c r="G30" t="s">
        <v>369</v>
      </c>
      <c r="H30" t="s">
        <v>391</v>
      </c>
      <c r="I30" t="s">
        <v>391</v>
      </c>
    </row>
    <row r="31" spans="1:9" x14ac:dyDescent="0.2">
      <c r="A31">
        <v>11322.5</v>
      </c>
      <c r="B31" t="s">
        <v>338</v>
      </c>
      <c r="C31"/>
      <c r="D31"/>
      <c r="E31" t="s">
        <v>369</v>
      </c>
      <c r="F31"/>
      <c r="G31" t="s">
        <v>369</v>
      </c>
      <c r="H31" t="s">
        <v>392</v>
      </c>
      <c r="I31" t="s">
        <v>392</v>
      </c>
    </row>
    <row r="32" spans="1:9" x14ac:dyDescent="0.2">
      <c r="A32">
        <v>868159.99</v>
      </c>
      <c r="B32" t="s">
        <v>235</v>
      </c>
      <c r="C32"/>
      <c r="D32"/>
      <c r="E32" t="s">
        <v>369</v>
      </c>
      <c r="F32"/>
      <c r="G32" t="s">
        <v>369</v>
      </c>
      <c r="H32" t="s">
        <v>393</v>
      </c>
      <c r="I32" t="s">
        <v>393</v>
      </c>
    </row>
    <row r="33" spans="1:9" x14ac:dyDescent="0.2">
      <c r="A33">
        <v>216.82498645000001</v>
      </c>
      <c r="B33" t="s">
        <v>322</v>
      </c>
      <c r="C33"/>
      <c r="D33"/>
      <c r="E33" t="s">
        <v>369</v>
      </c>
      <c r="F33"/>
      <c r="G33" t="s">
        <v>369</v>
      </c>
      <c r="H33" t="s">
        <v>394</v>
      </c>
      <c r="I33" t="s">
        <v>394</v>
      </c>
    </row>
    <row r="34" spans="1:9" x14ac:dyDescent="0.2">
      <c r="A34">
        <v>29388.04535371</v>
      </c>
      <c r="B34" t="s">
        <v>358</v>
      </c>
      <c r="C34"/>
      <c r="D34"/>
      <c r="E34" t="s">
        <v>369</v>
      </c>
      <c r="F34"/>
      <c r="G34" t="s">
        <v>369</v>
      </c>
      <c r="H34" t="s">
        <v>395</v>
      </c>
      <c r="I34" t="s">
        <v>395</v>
      </c>
    </row>
    <row r="35" spans="1:9" x14ac:dyDescent="0.2">
      <c r="A35">
        <v>30.73500159</v>
      </c>
      <c r="B35" t="s">
        <v>320</v>
      </c>
      <c r="C35"/>
      <c r="D35"/>
      <c r="E35" t="s">
        <v>369</v>
      </c>
      <c r="F35"/>
      <c r="G35" t="s">
        <v>369</v>
      </c>
      <c r="H35" t="s">
        <v>396</v>
      </c>
      <c r="I35" t="s">
        <v>396</v>
      </c>
    </row>
    <row r="36" spans="1:9" x14ac:dyDescent="0.2">
      <c r="A36">
        <v>1.35</v>
      </c>
      <c r="B36" t="s">
        <v>199</v>
      </c>
      <c r="C36"/>
      <c r="D36"/>
      <c r="E36" t="s">
        <v>369</v>
      </c>
      <c r="F36"/>
      <c r="G36" t="s">
        <v>369</v>
      </c>
      <c r="H36" t="s">
        <v>397</v>
      </c>
      <c r="I36" t="s">
        <v>397</v>
      </c>
    </row>
    <row r="37" spans="1:9" x14ac:dyDescent="0.2">
      <c r="A37">
        <v>326</v>
      </c>
      <c r="B37" t="s">
        <v>204</v>
      </c>
      <c r="C37"/>
      <c r="D37"/>
      <c r="E37" t="s">
        <v>369</v>
      </c>
      <c r="F37"/>
      <c r="G37" t="s">
        <v>369</v>
      </c>
      <c r="H37" t="s">
        <v>398</v>
      </c>
      <c r="I37" t="s">
        <v>398</v>
      </c>
    </row>
    <row r="38" spans="1:9" x14ac:dyDescent="0.2">
      <c r="A38">
        <v>207</v>
      </c>
      <c r="B38" t="s">
        <v>276</v>
      </c>
      <c r="C38"/>
      <c r="D38"/>
      <c r="E38" t="s">
        <v>369</v>
      </c>
      <c r="F38"/>
      <c r="G38" t="s">
        <v>369</v>
      </c>
      <c r="H38" t="s">
        <v>369</v>
      </c>
      <c r="I38" t="s">
        <v>369</v>
      </c>
    </row>
    <row r="39" spans="1:9" x14ac:dyDescent="0.2">
      <c r="A39">
        <v>42533.953206530001</v>
      </c>
      <c r="B39" t="s">
        <v>228</v>
      </c>
      <c r="C39"/>
      <c r="D39"/>
      <c r="E39" t="s">
        <v>369</v>
      </c>
      <c r="F39"/>
      <c r="G39" t="s">
        <v>369</v>
      </c>
      <c r="H39" t="s">
        <v>399</v>
      </c>
      <c r="I39" t="s">
        <v>399</v>
      </c>
    </row>
    <row r="40" spans="1:9" x14ac:dyDescent="0.2">
      <c r="A40">
        <v>19000</v>
      </c>
      <c r="B40" t="s">
        <v>205</v>
      </c>
      <c r="C40"/>
      <c r="D40"/>
      <c r="E40" t="s">
        <v>369</v>
      </c>
      <c r="F40"/>
      <c r="G40" t="s">
        <v>369</v>
      </c>
      <c r="H40" t="s">
        <v>400</v>
      </c>
      <c r="I40" t="s">
        <v>400</v>
      </c>
    </row>
    <row r="41" spans="1:9" x14ac:dyDescent="0.2">
      <c r="A41">
        <v>11379.24864037</v>
      </c>
      <c r="B41" t="s">
        <v>178</v>
      </c>
      <c r="C41"/>
      <c r="D41"/>
      <c r="E41" t="s">
        <v>369</v>
      </c>
      <c r="F41"/>
      <c r="G41" t="s">
        <v>369</v>
      </c>
      <c r="H41" t="s">
        <v>369</v>
      </c>
      <c r="I41" t="s">
        <v>369</v>
      </c>
    </row>
    <row r="42" spans="1:9" x14ac:dyDescent="0.2">
      <c r="A42">
        <v>4500891.83024</v>
      </c>
      <c r="B42" t="s">
        <v>294</v>
      </c>
      <c r="C42"/>
      <c r="D42"/>
      <c r="E42" t="s">
        <v>369</v>
      </c>
      <c r="F42"/>
      <c r="G42" t="s">
        <v>369</v>
      </c>
      <c r="H42" t="s">
        <v>401</v>
      </c>
      <c r="I42" t="s">
        <v>401</v>
      </c>
    </row>
    <row r="43" spans="1:9" x14ac:dyDescent="0.2">
      <c r="A43">
        <v>14.2827</v>
      </c>
      <c r="B43" t="s">
        <v>226</v>
      </c>
      <c r="C43"/>
      <c r="D43"/>
      <c r="E43" t="s">
        <v>369</v>
      </c>
      <c r="F43"/>
      <c r="G43" t="s">
        <v>369</v>
      </c>
      <c r="H43" t="s">
        <v>402</v>
      </c>
      <c r="I43" t="s">
        <v>402</v>
      </c>
    </row>
    <row r="44" spans="1:9" x14ac:dyDescent="0.2">
      <c r="A44">
        <v>160000</v>
      </c>
      <c r="B44" t="s">
        <v>143</v>
      </c>
      <c r="C44"/>
      <c r="D44"/>
      <c r="E44" t="s">
        <v>369</v>
      </c>
      <c r="F44"/>
      <c r="G44" t="s">
        <v>369</v>
      </c>
      <c r="H44" t="s">
        <v>403</v>
      </c>
      <c r="I44" t="s">
        <v>403</v>
      </c>
    </row>
    <row r="45" spans="1:9" x14ac:dyDescent="0.2">
      <c r="A45">
        <v>6207.1620000000003</v>
      </c>
      <c r="B45" t="s">
        <v>275</v>
      </c>
      <c r="C45"/>
      <c r="D45"/>
      <c r="E45" t="s">
        <v>369</v>
      </c>
      <c r="F45"/>
      <c r="G45" t="s">
        <v>369</v>
      </c>
      <c r="H45" t="s">
        <v>404</v>
      </c>
      <c r="I45" t="s">
        <v>404</v>
      </c>
    </row>
    <row r="46" spans="1:9" x14ac:dyDescent="0.2">
      <c r="A46">
        <v>2E-3</v>
      </c>
      <c r="B46" t="s">
        <v>268</v>
      </c>
      <c r="C46"/>
      <c r="D46"/>
      <c r="E46" t="s">
        <v>369</v>
      </c>
      <c r="F46"/>
      <c r="G46" t="s">
        <v>369</v>
      </c>
      <c r="H46" t="s">
        <v>369</v>
      </c>
      <c r="I46" t="s">
        <v>369</v>
      </c>
    </row>
    <row r="47" spans="1:9" x14ac:dyDescent="0.2">
      <c r="A47">
        <v>50000</v>
      </c>
      <c r="B47" t="s">
        <v>175</v>
      </c>
      <c r="C47"/>
      <c r="D47"/>
      <c r="E47" t="s">
        <v>369</v>
      </c>
      <c r="F47"/>
      <c r="G47" t="s">
        <v>369</v>
      </c>
      <c r="H47" t="s">
        <v>405</v>
      </c>
      <c r="I47" t="s">
        <v>405</v>
      </c>
    </row>
    <row r="48" spans="1:9" x14ac:dyDescent="0.2">
      <c r="A48">
        <v>5978.310829</v>
      </c>
      <c r="B48" t="s">
        <v>284</v>
      </c>
      <c r="C48"/>
      <c r="D48"/>
      <c r="E48" t="s">
        <v>369</v>
      </c>
      <c r="F48"/>
      <c r="G48" t="s">
        <v>369</v>
      </c>
      <c r="H48" t="s">
        <v>369</v>
      </c>
      <c r="I48" t="s">
        <v>369</v>
      </c>
    </row>
    <row r="49" spans="1:9" x14ac:dyDescent="0.2">
      <c r="A49">
        <v>469886.71064</v>
      </c>
      <c r="B49" t="s">
        <v>360</v>
      </c>
      <c r="C49"/>
      <c r="D49"/>
      <c r="E49" t="s">
        <v>369</v>
      </c>
      <c r="F49"/>
      <c r="G49" t="s">
        <v>369</v>
      </c>
      <c r="H49" t="s">
        <v>406</v>
      </c>
      <c r="I49" t="s">
        <v>406</v>
      </c>
    </row>
    <row r="50" spans="1:9" x14ac:dyDescent="0.2">
      <c r="A50">
        <v>85000</v>
      </c>
      <c r="B50" t="s">
        <v>289</v>
      </c>
      <c r="C50"/>
      <c r="D50"/>
      <c r="E50" t="s">
        <v>369</v>
      </c>
      <c r="F50"/>
      <c r="G50" t="s">
        <v>369</v>
      </c>
      <c r="H50" t="s">
        <v>407</v>
      </c>
      <c r="I50" t="s">
        <v>407</v>
      </c>
    </row>
    <row r="51" spans="1:9" x14ac:dyDescent="0.2">
      <c r="A51">
        <v>937500</v>
      </c>
      <c r="B51" t="s">
        <v>336</v>
      </c>
      <c r="C51"/>
      <c r="D51"/>
      <c r="E51" t="s">
        <v>369</v>
      </c>
      <c r="F51"/>
      <c r="G51" t="s">
        <v>369</v>
      </c>
      <c r="H51" t="s">
        <v>408</v>
      </c>
      <c r="I51" t="s">
        <v>408</v>
      </c>
    </row>
    <row r="52" spans="1:9" x14ac:dyDescent="0.2">
      <c r="A52">
        <v>485956.96077577001</v>
      </c>
      <c r="B52" t="s">
        <v>239</v>
      </c>
      <c r="C52"/>
      <c r="D52"/>
      <c r="E52" t="s">
        <v>369</v>
      </c>
      <c r="F52"/>
      <c r="G52" t="s">
        <v>369</v>
      </c>
      <c r="H52" t="s">
        <v>409</v>
      </c>
      <c r="I52" t="s">
        <v>409</v>
      </c>
    </row>
    <row r="53" spans="1:9" x14ac:dyDescent="0.2">
      <c r="A53">
        <v>821.52900220000004</v>
      </c>
      <c r="B53" t="s">
        <v>224</v>
      </c>
      <c r="C53"/>
      <c r="D53"/>
      <c r="E53" t="s">
        <v>369</v>
      </c>
      <c r="F53"/>
      <c r="G53" t="s">
        <v>369</v>
      </c>
      <c r="H53" t="s">
        <v>410</v>
      </c>
      <c r="I53" t="s">
        <v>410</v>
      </c>
    </row>
    <row r="54" spans="1:9" x14ac:dyDescent="0.2">
      <c r="A54">
        <v>0.33347901000000002</v>
      </c>
      <c r="B54" t="s">
        <v>196</v>
      </c>
      <c r="C54"/>
      <c r="D54"/>
      <c r="E54" t="s">
        <v>369</v>
      </c>
      <c r="F54"/>
      <c r="G54" t="s">
        <v>369</v>
      </c>
      <c r="H54" t="s">
        <v>411</v>
      </c>
      <c r="I54" t="s">
        <v>411</v>
      </c>
    </row>
    <row r="55" spans="1:9" x14ac:dyDescent="0.2">
      <c r="A55">
        <v>4357.6837537199999</v>
      </c>
      <c r="B55" t="s">
        <v>179</v>
      </c>
      <c r="C55"/>
      <c r="D55"/>
      <c r="E55" t="s">
        <v>369</v>
      </c>
      <c r="F55"/>
      <c r="G55" t="s">
        <v>369</v>
      </c>
      <c r="H55" t="s">
        <v>412</v>
      </c>
      <c r="I55" t="s">
        <v>412</v>
      </c>
    </row>
    <row r="56" spans="1:9" x14ac:dyDescent="0.2">
      <c r="A56">
        <v>90090.09</v>
      </c>
      <c r="B56" t="s">
        <v>220</v>
      </c>
      <c r="C56"/>
      <c r="D56"/>
      <c r="E56" t="s">
        <v>369</v>
      </c>
      <c r="F56"/>
      <c r="G56" t="s">
        <v>369</v>
      </c>
      <c r="H56" t="s">
        <v>413</v>
      </c>
      <c r="I56" t="s">
        <v>413</v>
      </c>
    </row>
    <row r="57" spans="1:9" x14ac:dyDescent="0.2">
      <c r="A57">
        <v>4063090136.0476999</v>
      </c>
      <c r="B57" t="s">
        <v>233</v>
      </c>
      <c r="C57"/>
      <c r="D57"/>
      <c r="E57" t="s">
        <v>369</v>
      </c>
      <c r="F57"/>
      <c r="G57" t="s">
        <v>369</v>
      </c>
      <c r="H57" t="s">
        <v>414</v>
      </c>
      <c r="I57" t="s">
        <v>414</v>
      </c>
    </row>
    <row r="58" spans="1:9" x14ac:dyDescent="0.2">
      <c r="A58">
        <v>83500</v>
      </c>
      <c r="B58" t="s">
        <v>329</v>
      </c>
      <c r="C58"/>
      <c r="D58"/>
      <c r="E58" t="s">
        <v>369</v>
      </c>
      <c r="F58"/>
      <c r="G58" t="s">
        <v>369</v>
      </c>
      <c r="H58" t="s">
        <v>369</v>
      </c>
      <c r="I58" t="s">
        <v>369</v>
      </c>
    </row>
    <row r="59" spans="1:9" x14ac:dyDescent="0.2">
      <c r="A59">
        <v>100239.2</v>
      </c>
      <c r="B59" t="s">
        <v>183</v>
      </c>
      <c r="C59"/>
      <c r="D59"/>
      <c r="E59" t="s">
        <v>369</v>
      </c>
      <c r="F59"/>
      <c r="G59" t="s">
        <v>369</v>
      </c>
      <c r="H59" t="s">
        <v>415</v>
      </c>
      <c r="I59" t="s">
        <v>415</v>
      </c>
    </row>
    <row r="60" spans="1:9" x14ac:dyDescent="0.2">
      <c r="A60">
        <v>834601.00049999997</v>
      </c>
      <c r="B60" t="s">
        <v>283</v>
      </c>
      <c r="C60"/>
      <c r="D60"/>
      <c r="E60" t="s">
        <v>369</v>
      </c>
      <c r="F60"/>
      <c r="G60" t="s">
        <v>369</v>
      </c>
      <c r="H60" t="s">
        <v>416</v>
      </c>
      <c r="I60" t="s">
        <v>416</v>
      </c>
    </row>
    <row r="61" spans="1:9" x14ac:dyDescent="0.2">
      <c r="A61">
        <v>158334.79999999999</v>
      </c>
      <c r="B61" t="s">
        <v>209</v>
      </c>
      <c r="C61"/>
      <c r="D61"/>
      <c r="E61" t="s">
        <v>369</v>
      </c>
      <c r="F61"/>
      <c r="G61" t="s">
        <v>369</v>
      </c>
      <c r="H61" t="s">
        <v>369</v>
      </c>
      <c r="I61" t="s">
        <v>369</v>
      </c>
    </row>
    <row r="62" spans="1:9" x14ac:dyDescent="0.2">
      <c r="A62">
        <v>717948.7</v>
      </c>
      <c r="B62" t="s">
        <v>176</v>
      </c>
      <c r="C62"/>
      <c r="D62"/>
      <c r="E62" t="s">
        <v>369</v>
      </c>
      <c r="F62"/>
      <c r="G62" t="s">
        <v>369</v>
      </c>
      <c r="H62" t="s">
        <v>417</v>
      </c>
      <c r="I62" t="s">
        <v>417</v>
      </c>
    </row>
    <row r="63" spans="1:9" x14ac:dyDescent="0.2">
      <c r="A63">
        <v>2500</v>
      </c>
      <c r="B63" t="s">
        <v>188</v>
      </c>
      <c r="C63"/>
      <c r="D63"/>
      <c r="E63" t="s">
        <v>369</v>
      </c>
      <c r="F63"/>
      <c r="G63" t="s">
        <v>369</v>
      </c>
      <c r="H63" t="s">
        <v>418</v>
      </c>
      <c r="I63" t="s">
        <v>418</v>
      </c>
    </row>
    <row r="64" spans="1:9" x14ac:dyDescent="0.2">
      <c r="A64">
        <v>89.25482015</v>
      </c>
      <c r="B64" t="s">
        <v>207</v>
      </c>
      <c r="C64"/>
      <c r="D64"/>
      <c r="E64" t="s">
        <v>369</v>
      </c>
      <c r="F64"/>
      <c r="G64" t="s">
        <v>369</v>
      </c>
      <c r="H64" t="s">
        <v>419</v>
      </c>
      <c r="I64" t="s">
        <v>419</v>
      </c>
    </row>
    <row r="65" spans="1:9" x14ac:dyDescent="0.2">
      <c r="A65">
        <v>1</v>
      </c>
      <c r="B65" t="s">
        <v>243</v>
      </c>
      <c r="C65"/>
      <c r="D65"/>
      <c r="E65" t="s">
        <v>369</v>
      </c>
      <c r="F65"/>
      <c r="G65" t="s">
        <v>369</v>
      </c>
      <c r="H65" t="s">
        <v>369</v>
      </c>
      <c r="I65" t="s">
        <v>369</v>
      </c>
    </row>
    <row r="66" spans="1:9" x14ac:dyDescent="0.2">
      <c r="A66">
        <v>1</v>
      </c>
      <c r="B66" t="s">
        <v>192</v>
      </c>
      <c r="C66"/>
      <c r="D66"/>
      <c r="E66" t="s">
        <v>369</v>
      </c>
      <c r="F66"/>
      <c r="G66" t="s">
        <v>369</v>
      </c>
      <c r="H66" t="s">
        <v>369</v>
      </c>
      <c r="I66" t="s">
        <v>369</v>
      </c>
    </row>
    <row r="67" spans="1:9" x14ac:dyDescent="0.2">
      <c r="A67">
        <v>8</v>
      </c>
      <c r="B67" t="s">
        <v>138</v>
      </c>
      <c r="C67"/>
      <c r="D67"/>
      <c r="E67" t="s">
        <v>369</v>
      </c>
      <c r="F67"/>
      <c r="G67" t="s">
        <v>369</v>
      </c>
      <c r="H67" t="s">
        <v>420</v>
      </c>
      <c r="I67" t="s">
        <v>420</v>
      </c>
    </row>
    <row r="68" spans="1:9" x14ac:dyDescent="0.2">
      <c r="A68">
        <v>464043</v>
      </c>
      <c r="B68" t="s">
        <v>273</v>
      </c>
      <c r="C68"/>
      <c r="D68"/>
      <c r="E68" t="s">
        <v>369</v>
      </c>
      <c r="F68"/>
      <c r="G68" t="s">
        <v>369</v>
      </c>
      <c r="H68" t="s">
        <v>369</v>
      </c>
      <c r="I68" t="s">
        <v>369</v>
      </c>
    </row>
    <row r="69" spans="1:9" x14ac:dyDescent="0.2">
      <c r="A69">
        <v>2E-8</v>
      </c>
      <c r="B69" t="s">
        <v>331</v>
      </c>
      <c r="C69"/>
      <c r="D69"/>
      <c r="E69" t="s">
        <v>369</v>
      </c>
      <c r="F69"/>
      <c r="G69" t="s">
        <v>369</v>
      </c>
      <c r="H69" t="s">
        <v>369</v>
      </c>
      <c r="I69" t="s">
        <v>369</v>
      </c>
    </row>
    <row r="70" spans="1:9" x14ac:dyDescent="0.2">
      <c r="A70">
        <v>83333.33</v>
      </c>
      <c r="B70" t="s">
        <v>219</v>
      </c>
      <c r="C70"/>
      <c r="D70"/>
      <c r="E70" t="s">
        <v>369</v>
      </c>
      <c r="F70"/>
      <c r="G70" t="s">
        <v>369</v>
      </c>
      <c r="H70" t="s">
        <v>421</v>
      </c>
      <c r="I70" t="s">
        <v>421</v>
      </c>
    </row>
    <row r="71" spans="1:9" x14ac:dyDescent="0.2">
      <c r="A71">
        <v>17500.1636</v>
      </c>
      <c r="B71" t="s">
        <v>302</v>
      </c>
      <c r="C71"/>
      <c r="D71"/>
      <c r="E71" t="s">
        <v>369</v>
      </c>
      <c r="F71"/>
      <c r="G71" t="s">
        <v>369</v>
      </c>
      <c r="H71" t="s">
        <v>422</v>
      </c>
      <c r="I71" t="s">
        <v>422</v>
      </c>
    </row>
    <row r="72" spans="1:9" x14ac:dyDescent="0.2">
      <c r="A72">
        <v>15625</v>
      </c>
      <c r="B72" t="s">
        <v>133</v>
      </c>
      <c r="C72"/>
      <c r="D72"/>
      <c r="E72" t="s">
        <v>369</v>
      </c>
      <c r="F72"/>
      <c r="G72" t="s">
        <v>369</v>
      </c>
      <c r="H72" t="s">
        <v>423</v>
      </c>
      <c r="I72" t="s">
        <v>423</v>
      </c>
    </row>
    <row r="73" spans="1:9" x14ac:dyDescent="0.2">
      <c r="A73">
        <v>200</v>
      </c>
      <c r="B73" t="s">
        <v>186</v>
      </c>
      <c r="C73"/>
      <c r="D73"/>
      <c r="E73" t="s">
        <v>369</v>
      </c>
      <c r="F73"/>
      <c r="G73" t="s">
        <v>369</v>
      </c>
      <c r="H73" t="s">
        <v>424</v>
      </c>
      <c r="I73" t="s">
        <v>424</v>
      </c>
    </row>
    <row r="74" spans="1:9" x14ac:dyDescent="0.2">
      <c r="A74">
        <v>2222.2222219999999</v>
      </c>
      <c r="B74" t="s">
        <v>200</v>
      </c>
      <c r="C74"/>
      <c r="D74"/>
      <c r="E74" t="s">
        <v>369</v>
      </c>
      <c r="F74"/>
      <c r="G74" t="s">
        <v>369</v>
      </c>
      <c r="H74" t="s">
        <v>425</v>
      </c>
      <c r="I74" t="s">
        <v>425</v>
      </c>
    </row>
    <row r="75" spans="1:9" x14ac:dyDescent="0.2">
      <c r="A75">
        <v>311</v>
      </c>
      <c r="B75" t="s">
        <v>367</v>
      </c>
      <c r="C75"/>
      <c r="D75"/>
      <c r="E75" t="s">
        <v>369</v>
      </c>
      <c r="F75"/>
      <c r="G75" t="s">
        <v>369</v>
      </c>
      <c r="H75" t="s">
        <v>426</v>
      </c>
      <c r="I75" t="s">
        <v>426</v>
      </c>
    </row>
    <row r="76" spans="1:9" x14ac:dyDescent="0.2">
      <c r="A76">
        <v>27043.72</v>
      </c>
      <c r="B76" t="s">
        <v>323</v>
      </c>
      <c r="C76"/>
      <c r="D76"/>
      <c r="E76" t="s">
        <v>369</v>
      </c>
      <c r="F76"/>
      <c r="G76" t="s">
        <v>369</v>
      </c>
      <c r="H76" t="s">
        <v>427</v>
      </c>
      <c r="I76" t="s">
        <v>427</v>
      </c>
    </row>
    <row r="77" spans="1:9" x14ac:dyDescent="0.2">
      <c r="A77">
        <v>250000</v>
      </c>
      <c r="B77" t="s">
        <v>213</v>
      </c>
      <c r="C77"/>
      <c r="D77"/>
      <c r="E77" t="s">
        <v>369</v>
      </c>
      <c r="F77"/>
      <c r="G77" t="s">
        <v>369</v>
      </c>
      <c r="H77" t="s">
        <v>428</v>
      </c>
      <c r="I77" t="s">
        <v>428</v>
      </c>
    </row>
    <row r="78" spans="1:9" x14ac:dyDescent="0.2">
      <c r="A78">
        <v>51515.06</v>
      </c>
      <c r="B78" t="s">
        <v>339</v>
      </c>
      <c r="C78"/>
      <c r="D78"/>
      <c r="E78" t="s">
        <v>369</v>
      </c>
      <c r="F78"/>
      <c r="G78" t="s">
        <v>369</v>
      </c>
      <c r="H78" t="s">
        <v>429</v>
      </c>
      <c r="I78" t="s">
        <v>429</v>
      </c>
    </row>
    <row r="79" spans="1:9" x14ac:dyDescent="0.2">
      <c r="A79">
        <v>50000</v>
      </c>
      <c r="B79" t="s">
        <v>128</v>
      </c>
      <c r="C79"/>
      <c r="D79"/>
      <c r="E79" t="s">
        <v>369</v>
      </c>
      <c r="F79"/>
      <c r="G79" t="s">
        <v>369</v>
      </c>
      <c r="H79" t="s">
        <v>430</v>
      </c>
      <c r="I79" t="s">
        <v>430</v>
      </c>
    </row>
    <row r="80" spans="1:9" x14ac:dyDescent="0.2">
      <c r="A80">
        <v>1</v>
      </c>
      <c r="B80" t="s">
        <v>368</v>
      </c>
      <c r="C80"/>
      <c r="D80"/>
      <c r="E80" t="s">
        <v>369</v>
      </c>
      <c r="F80"/>
      <c r="G80" t="s">
        <v>369</v>
      </c>
      <c r="H80" t="s">
        <v>431</v>
      </c>
      <c r="I80" t="s">
        <v>431</v>
      </c>
    </row>
    <row r="81" spans="1:9" x14ac:dyDescent="0.2">
      <c r="A81">
        <v>1520000</v>
      </c>
      <c r="B81" t="s">
        <v>151</v>
      </c>
      <c r="C81"/>
      <c r="D81"/>
      <c r="E81" t="s">
        <v>369</v>
      </c>
      <c r="F81"/>
      <c r="G81" t="s">
        <v>369</v>
      </c>
      <c r="H81" t="s">
        <v>432</v>
      </c>
      <c r="I81" t="s">
        <v>432</v>
      </c>
    </row>
    <row r="82" spans="1:9" x14ac:dyDescent="0.2">
      <c r="A82">
        <v>1492.60852447</v>
      </c>
      <c r="B82" t="s">
        <v>308</v>
      </c>
      <c r="C82"/>
      <c r="D82"/>
      <c r="E82" t="s">
        <v>369</v>
      </c>
      <c r="F82"/>
      <c r="G82" t="s">
        <v>369</v>
      </c>
      <c r="H82" t="s">
        <v>433</v>
      </c>
      <c r="I82" t="s">
        <v>433</v>
      </c>
    </row>
    <row r="83" spans="1:9" x14ac:dyDescent="0.2">
      <c r="A83">
        <v>0.31</v>
      </c>
      <c r="B83" t="s">
        <v>343</v>
      </c>
      <c r="C83"/>
      <c r="D83"/>
      <c r="E83" t="s">
        <v>369</v>
      </c>
      <c r="F83"/>
      <c r="G83" t="s">
        <v>369</v>
      </c>
      <c r="H83" t="s">
        <v>434</v>
      </c>
      <c r="I83" t="s">
        <v>434</v>
      </c>
    </row>
    <row r="84" spans="1:9" x14ac:dyDescent="0.2">
      <c r="A84">
        <v>16666.666669999999</v>
      </c>
      <c r="B84" t="s">
        <v>334</v>
      </c>
      <c r="C84"/>
      <c r="D84"/>
      <c r="E84" t="s">
        <v>369</v>
      </c>
      <c r="F84"/>
      <c r="G84" t="s">
        <v>369</v>
      </c>
      <c r="H84" t="s">
        <v>435</v>
      </c>
      <c r="I84" t="s">
        <v>435</v>
      </c>
    </row>
    <row r="85" spans="1:9" x14ac:dyDescent="0.2">
      <c r="A85">
        <v>7088.9999980000002</v>
      </c>
      <c r="B85" t="s">
        <v>165</v>
      </c>
      <c r="C85"/>
      <c r="D85"/>
      <c r="E85" t="s">
        <v>369</v>
      </c>
      <c r="F85"/>
      <c r="G85" t="s">
        <v>369</v>
      </c>
      <c r="H85" t="s">
        <v>436</v>
      </c>
      <c r="I85" t="s">
        <v>436</v>
      </c>
    </row>
    <row r="86" spans="1:9" x14ac:dyDescent="0.2">
      <c r="A86">
        <v>0.64</v>
      </c>
      <c r="B86" t="s">
        <v>278</v>
      </c>
      <c r="C86"/>
      <c r="D86"/>
      <c r="E86" t="s">
        <v>369</v>
      </c>
      <c r="F86"/>
      <c r="G86" t="s">
        <v>369</v>
      </c>
      <c r="H86" t="s">
        <v>437</v>
      </c>
      <c r="I86" t="s">
        <v>437</v>
      </c>
    </row>
    <row r="87" spans="1:9" x14ac:dyDescent="0.2">
      <c r="A87">
        <v>2415</v>
      </c>
      <c r="B87" t="s">
        <v>212</v>
      </c>
      <c r="C87"/>
      <c r="D87"/>
      <c r="E87" t="s">
        <v>369</v>
      </c>
      <c r="F87"/>
      <c r="G87" t="s">
        <v>369</v>
      </c>
      <c r="H87" t="s">
        <v>438</v>
      </c>
      <c r="I87" t="s">
        <v>438</v>
      </c>
    </row>
    <row r="88" spans="1:9" x14ac:dyDescent="0.2">
      <c r="A88">
        <v>7624.2</v>
      </c>
      <c r="B88" t="s">
        <v>248</v>
      </c>
      <c r="C88"/>
      <c r="D88"/>
      <c r="E88" t="s">
        <v>369</v>
      </c>
      <c r="F88"/>
      <c r="G88" t="s">
        <v>369</v>
      </c>
      <c r="H88" t="s">
        <v>439</v>
      </c>
      <c r="I88" t="s">
        <v>439</v>
      </c>
    </row>
    <row r="89" spans="1:9" x14ac:dyDescent="0.2">
      <c r="A89">
        <v>50000</v>
      </c>
      <c r="B89" t="s">
        <v>218</v>
      </c>
      <c r="C89"/>
      <c r="D89"/>
      <c r="E89" t="s">
        <v>369</v>
      </c>
      <c r="F89"/>
      <c r="G89" t="s">
        <v>369</v>
      </c>
      <c r="H89" t="s">
        <v>440</v>
      </c>
      <c r="I89" t="s">
        <v>440</v>
      </c>
    </row>
    <row r="90" spans="1:9" x14ac:dyDescent="0.2">
      <c r="A90">
        <v>390</v>
      </c>
      <c r="B90" t="s">
        <v>261</v>
      </c>
      <c r="C90"/>
      <c r="D90"/>
      <c r="E90" t="s">
        <v>369</v>
      </c>
      <c r="F90"/>
      <c r="G90" t="s">
        <v>369</v>
      </c>
      <c r="H90" t="s">
        <v>441</v>
      </c>
      <c r="I90" t="s">
        <v>441</v>
      </c>
    </row>
    <row r="91" spans="1:9" x14ac:dyDescent="0.2">
      <c r="A91">
        <v>1431390.48713</v>
      </c>
      <c r="B91" t="s">
        <v>135</v>
      </c>
      <c r="C91"/>
      <c r="D91"/>
      <c r="E91" t="s">
        <v>369</v>
      </c>
      <c r="F91"/>
      <c r="G91" t="s">
        <v>369</v>
      </c>
      <c r="H91" t="s">
        <v>442</v>
      </c>
      <c r="I91" t="s">
        <v>442</v>
      </c>
    </row>
    <row r="92" spans="1:9" x14ac:dyDescent="0.2">
      <c r="A92">
        <v>560000</v>
      </c>
      <c r="B92" t="s">
        <v>130</v>
      </c>
      <c r="C92"/>
      <c r="D92"/>
      <c r="E92" t="s">
        <v>369</v>
      </c>
      <c r="F92"/>
      <c r="G92" t="s">
        <v>369</v>
      </c>
      <c r="H92" t="s">
        <v>369</v>
      </c>
      <c r="I92" t="s">
        <v>369</v>
      </c>
    </row>
    <row r="93" spans="1:9" x14ac:dyDescent="0.2">
      <c r="A93">
        <v>134924.43113806</v>
      </c>
      <c r="B93" t="s">
        <v>297</v>
      </c>
      <c r="C93"/>
      <c r="D93"/>
      <c r="E93" t="s">
        <v>369</v>
      </c>
      <c r="F93"/>
      <c r="G93" t="s">
        <v>369</v>
      </c>
      <c r="H93" t="s">
        <v>443</v>
      </c>
      <c r="I93" t="s">
        <v>443</v>
      </c>
    </row>
    <row r="94" spans="1:9" x14ac:dyDescent="0.2">
      <c r="A94">
        <v>5.2800000000000003E-6</v>
      </c>
      <c r="B94" t="s">
        <v>346</v>
      </c>
      <c r="C94"/>
      <c r="D94"/>
      <c r="E94" t="s">
        <v>369</v>
      </c>
      <c r="F94"/>
      <c r="G94" t="s">
        <v>369</v>
      </c>
      <c r="H94" t="s">
        <v>369</v>
      </c>
      <c r="I94" t="s">
        <v>369</v>
      </c>
    </row>
    <row r="95" spans="1:9" x14ac:dyDescent="0.2">
      <c r="A95">
        <v>1</v>
      </c>
      <c r="B95" t="s">
        <v>300</v>
      </c>
      <c r="C95"/>
      <c r="D95"/>
      <c r="E95" t="s">
        <v>369</v>
      </c>
      <c r="F95"/>
      <c r="G95" t="s">
        <v>369</v>
      </c>
      <c r="H95" t="s">
        <v>369</v>
      </c>
      <c r="I95" t="s">
        <v>369</v>
      </c>
    </row>
    <row r="96" spans="1:9" x14ac:dyDescent="0.2">
      <c r="A96">
        <v>92306.466287450006</v>
      </c>
      <c r="B96" t="s">
        <v>316</v>
      </c>
      <c r="C96"/>
      <c r="D96"/>
      <c r="E96" t="s">
        <v>369</v>
      </c>
      <c r="F96"/>
      <c r="G96" t="s">
        <v>369</v>
      </c>
      <c r="H96" t="s">
        <v>444</v>
      </c>
      <c r="I96" t="s">
        <v>444</v>
      </c>
    </row>
    <row r="97" spans="1:9" x14ac:dyDescent="0.2">
      <c r="A97">
        <v>50.1759852</v>
      </c>
      <c r="B97" t="s">
        <v>238</v>
      </c>
      <c r="C97"/>
      <c r="D97"/>
      <c r="E97" t="s">
        <v>369</v>
      </c>
      <c r="F97"/>
      <c r="G97" t="s">
        <v>369</v>
      </c>
      <c r="H97" t="s">
        <v>445</v>
      </c>
      <c r="I97" t="s">
        <v>445</v>
      </c>
    </row>
    <row r="98" spans="1:9" x14ac:dyDescent="0.2">
      <c r="A98">
        <v>3679.9504737900002</v>
      </c>
      <c r="B98" t="s">
        <v>193</v>
      </c>
      <c r="C98"/>
      <c r="D98"/>
      <c r="E98" t="s">
        <v>369</v>
      </c>
      <c r="F98"/>
      <c r="G98" t="s">
        <v>369</v>
      </c>
      <c r="H98" t="s">
        <v>446</v>
      </c>
      <c r="I98" t="s">
        <v>446</v>
      </c>
    </row>
    <row r="99" spans="1:9" x14ac:dyDescent="0.2">
      <c r="A99">
        <v>136440.0406636</v>
      </c>
      <c r="B99" t="s">
        <v>254</v>
      </c>
      <c r="C99"/>
      <c r="D99"/>
      <c r="E99" t="s">
        <v>369</v>
      </c>
      <c r="F99"/>
      <c r="G99" t="s">
        <v>369</v>
      </c>
      <c r="H99" t="s">
        <v>447</v>
      </c>
      <c r="I99" t="s">
        <v>447</v>
      </c>
    </row>
    <row r="100" spans="1:9" x14ac:dyDescent="0.2">
      <c r="A100">
        <v>665761.41360514006</v>
      </c>
      <c r="B100" t="s">
        <v>208</v>
      </c>
      <c r="C100"/>
      <c r="D100"/>
      <c r="E100" t="s">
        <v>369</v>
      </c>
      <c r="F100"/>
      <c r="G100" t="s">
        <v>369</v>
      </c>
      <c r="H100" t="s">
        <v>448</v>
      </c>
      <c r="I100" t="s">
        <v>448</v>
      </c>
    </row>
    <row r="101" spans="1:9" x14ac:dyDescent="0.2">
      <c r="A101">
        <v>990000</v>
      </c>
      <c r="B101" t="s">
        <v>356</v>
      </c>
      <c r="C101"/>
      <c r="D101"/>
      <c r="E101" t="s">
        <v>369</v>
      </c>
      <c r="F101"/>
      <c r="G101" t="s">
        <v>369</v>
      </c>
      <c r="H101" t="s">
        <v>449</v>
      </c>
      <c r="I101" t="s">
        <v>449</v>
      </c>
    </row>
    <row r="102" spans="1:9" x14ac:dyDescent="0.2">
      <c r="A102">
        <v>7.0000000000000007E-2</v>
      </c>
      <c r="B102" t="s">
        <v>160</v>
      </c>
      <c r="C102"/>
      <c r="D102"/>
      <c r="E102" t="s">
        <v>369</v>
      </c>
      <c r="F102"/>
      <c r="G102" t="s">
        <v>369</v>
      </c>
      <c r="H102" t="s">
        <v>450</v>
      </c>
      <c r="I102" t="s">
        <v>450</v>
      </c>
    </row>
    <row r="103" spans="1:9" x14ac:dyDescent="0.2">
      <c r="A103">
        <v>7.6999999999999996E-4</v>
      </c>
      <c r="B103" t="s">
        <v>282</v>
      </c>
      <c r="C103"/>
      <c r="D103"/>
      <c r="E103" t="s">
        <v>369</v>
      </c>
      <c r="F103"/>
      <c r="G103" t="s">
        <v>369</v>
      </c>
      <c r="H103" t="s">
        <v>369</v>
      </c>
      <c r="I103" t="s">
        <v>369</v>
      </c>
    </row>
    <row r="104" spans="1:9" x14ac:dyDescent="0.2">
      <c r="A104">
        <v>1</v>
      </c>
      <c r="B104" t="s">
        <v>337</v>
      </c>
      <c r="C104"/>
      <c r="D104"/>
      <c r="E104" t="s">
        <v>369</v>
      </c>
      <c r="F104"/>
      <c r="G104" t="s">
        <v>369</v>
      </c>
      <c r="H104" t="s">
        <v>369</v>
      </c>
      <c r="I104" t="s">
        <v>369</v>
      </c>
    </row>
    <row r="105" spans="1:9" x14ac:dyDescent="0.2">
      <c r="A105">
        <v>3793.3332999999998</v>
      </c>
      <c r="B105" t="s">
        <v>310</v>
      </c>
      <c r="C105"/>
      <c r="D105"/>
      <c r="E105" t="s">
        <v>369</v>
      </c>
      <c r="F105"/>
      <c r="G105" t="s">
        <v>369</v>
      </c>
      <c r="H105" t="s">
        <v>451</v>
      </c>
      <c r="I105" t="s">
        <v>451</v>
      </c>
    </row>
    <row r="106" spans="1:9" x14ac:dyDescent="0.2">
      <c r="A106">
        <v>1000</v>
      </c>
      <c r="B106" t="s">
        <v>171</v>
      </c>
      <c r="C106"/>
      <c r="D106"/>
      <c r="E106" t="s">
        <v>369</v>
      </c>
      <c r="F106"/>
      <c r="G106" t="s">
        <v>369</v>
      </c>
      <c r="H106" t="s">
        <v>369</v>
      </c>
      <c r="I106" t="s">
        <v>369</v>
      </c>
    </row>
    <row r="107" spans="1:9" x14ac:dyDescent="0.2">
      <c r="A107">
        <v>6.5730000000000004</v>
      </c>
      <c r="B107" t="s">
        <v>241</v>
      </c>
      <c r="C107"/>
      <c r="D107"/>
      <c r="E107" t="s">
        <v>369</v>
      </c>
      <c r="F107"/>
      <c r="G107" t="s">
        <v>369</v>
      </c>
      <c r="H107" t="s">
        <v>452</v>
      </c>
      <c r="I107" t="s">
        <v>452</v>
      </c>
    </row>
    <row r="108" spans="1:9" x14ac:dyDescent="0.2">
      <c r="A108">
        <v>439509.40610000002</v>
      </c>
      <c r="B108" t="s">
        <v>365</v>
      </c>
      <c r="C108"/>
      <c r="D108"/>
      <c r="E108" t="s">
        <v>369</v>
      </c>
      <c r="F108"/>
      <c r="G108" t="s">
        <v>369</v>
      </c>
      <c r="H108" t="s">
        <v>453</v>
      </c>
      <c r="I108" t="s">
        <v>453</v>
      </c>
    </row>
    <row r="109" spans="1:9" x14ac:dyDescent="0.2">
      <c r="A109">
        <v>1818181</v>
      </c>
      <c r="B109" t="s">
        <v>272</v>
      </c>
      <c r="C109"/>
      <c r="D109"/>
      <c r="E109" t="s">
        <v>369</v>
      </c>
      <c r="F109"/>
      <c r="G109" t="s">
        <v>369</v>
      </c>
      <c r="H109" t="s">
        <v>454</v>
      </c>
      <c r="I109" t="s">
        <v>454</v>
      </c>
    </row>
    <row r="110" spans="1:9" x14ac:dyDescent="0.2">
      <c r="A110">
        <v>166640</v>
      </c>
      <c r="B110" t="s">
        <v>335</v>
      </c>
      <c r="C110"/>
      <c r="D110"/>
      <c r="E110" t="s">
        <v>369</v>
      </c>
      <c r="F110"/>
      <c r="G110" t="s">
        <v>369</v>
      </c>
      <c r="H110" t="s">
        <v>369</v>
      </c>
      <c r="I110" t="s">
        <v>369</v>
      </c>
    </row>
    <row r="111" spans="1:9" x14ac:dyDescent="0.2">
      <c r="A111">
        <v>180000</v>
      </c>
      <c r="B111" t="s">
        <v>177</v>
      </c>
      <c r="C111"/>
      <c r="D111"/>
      <c r="E111" t="s">
        <v>369</v>
      </c>
      <c r="F111"/>
      <c r="G111" t="s">
        <v>369</v>
      </c>
      <c r="H111" t="s">
        <v>455</v>
      </c>
      <c r="I111" t="s">
        <v>455</v>
      </c>
    </row>
    <row r="112" spans="1:9" x14ac:dyDescent="0.2">
      <c r="A112">
        <v>0.15</v>
      </c>
      <c r="B112" t="s">
        <v>354</v>
      </c>
      <c r="C112"/>
      <c r="D112"/>
      <c r="E112" t="s">
        <v>369</v>
      </c>
      <c r="F112"/>
      <c r="G112" t="s">
        <v>369</v>
      </c>
      <c r="H112" t="s">
        <v>369</v>
      </c>
      <c r="I112" t="s">
        <v>369</v>
      </c>
    </row>
    <row r="113" spans="1:9" x14ac:dyDescent="0.2">
      <c r="A113">
        <v>15000</v>
      </c>
      <c r="B113" t="s">
        <v>156</v>
      </c>
      <c r="C113"/>
      <c r="D113"/>
      <c r="E113" t="s">
        <v>369</v>
      </c>
      <c r="F113"/>
      <c r="G113" t="s">
        <v>369</v>
      </c>
      <c r="H113" t="s">
        <v>456</v>
      </c>
      <c r="I113" t="s">
        <v>456</v>
      </c>
    </row>
    <row r="114" spans="1:9" x14ac:dyDescent="0.2">
      <c r="A114">
        <v>16761996617.322998</v>
      </c>
      <c r="B114" t="s">
        <v>136</v>
      </c>
      <c r="C114"/>
      <c r="D114"/>
      <c r="E114" t="s">
        <v>369</v>
      </c>
      <c r="F114"/>
      <c r="G114" t="s">
        <v>369</v>
      </c>
      <c r="H114" t="s">
        <v>457</v>
      </c>
      <c r="I114" t="s">
        <v>457</v>
      </c>
    </row>
    <row r="115" spans="1:9" x14ac:dyDescent="0.2">
      <c r="A115">
        <v>3732062.05</v>
      </c>
      <c r="B115" t="s">
        <v>357</v>
      </c>
      <c r="C115"/>
      <c r="D115"/>
      <c r="E115" t="s">
        <v>369</v>
      </c>
      <c r="F115"/>
      <c r="G115" t="s">
        <v>369</v>
      </c>
      <c r="H115" t="s">
        <v>458</v>
      </c>
      <c r="I115" t="s">
        <v>458</v>
      </c>
    </row>
    <row r="116" spans="1:9" x14ac:dyDescent="0.2">
      <c r="A116">
        <v>8</v>
      </c>
      <c r="B116" t="s">
        <v>348</v>
      </c>
      <c r="C116"/>
      <c r="D116"/>
      <c r="E116" t="s">
        <v>369</v>
      </c>
      <c r="F116"/>
      <c r="G116" t="s">
        <v>369</v>
      </c>
      <c r="H116" t="s">
        <v>369</v>
      </c>
      <c r="I116" t="s">
        <v>369</v>
      </c>
    </row>
    <row r="117" spans="1:9" x14ac:dyDescent="0.2">
      <c r="A117">
        <v>10937.6</v>
      </c>
      <c r="B117" t="s">
        <v>288</v>
      </c>
      <c r="C117"/>
      <c r="D117"/>
      <c r="E117" t="s">
        <v>369</v>
      </c>
      <c r="F117"/>
      <c r="G117" t="s">
        <v>369</v>
      </c>
      <c r="H117" t="s">
        <v>459</v>
      </c>
      <c r="I117" t="s">
        <v>459</v>
      </c>
    </row>
    <row r="118" spans="1:9" x14ac:dyDescent="0.2">
      <c r="A118">
        <v>300000</v>
      </c>
      <c r="B118" t="s">
        <v>301</v>
      </c>
      <c r="C118"/>
      <c r="D118"/>
      <c r="E118" t="s">
        <v>369</v>
      </c>
      <c r="F118"/>
      <c r="G118" t="s">
        <v>369</v>
      </c>
      <c r="H118" t="s">
        <v>369</v>
      </c>
      <c r="I118" t="s">
        <v>369</v>
      </c>
    </row>
    <row r="119" spans="1:9" x14ac:dyDescent="0.2">
      <c r="A119">
        <v>64998.7</v>
      </c>
      <c r="B119" t="s">
        <v>266</v>
      </c>
      <c r="C119"/>
      <c r="D119"/>
      <c r="E119" t="s">
        <v>369</v>
      </c>
      <c r="F119"/>
      <c r="G119" t="s">
        <v>369</v>
      </c>
      <c r="H119" t="s">
        <v>460</v>
      </c>
      <c r="I119" t="s">
        <v>460</v>
      </c>
    </row>
    <row r="120" spans="1:9" x14ac:dyDescent="0.2">
      <c r="A120">
        <v>89285.7</v>
      </c>
      <c r="B120" t="s">
        <v>231</v>
      </c>
      <c r="C120"/>
      <c r="D120"/>
      <c r="E120" t="s">
        <v>369</v>
      </c>
      <c r="F120"/>
      <c r="G120" t="s">
        <v>369</v>
      </c>
      <c r="H120" t="s">
        <v>369</v>
      </c>
      <c r="I120" t="s">
        <v>369</v>
      </c>
    </row>
    <row r="121" spans="1:9" x14ac:dyDescent="0.2">
      <c r="A121">
        <v>5.16695E-3</v>
      </c>
      <c r="B121" t="s">
        <v>340</v>
      </c>
      <c r="C121"/>
      <c r="D121"/>
      <c r="E121" t="s">
        <v>369</v>
      </c>
      <c r="F121"/>
      <c r="G121" t="s">
        <v>369</v>
      </c>
      <c r="H121" t="s">
        <v>461</v>
      </c>
      <c r="I121" t="s">
        <v>461</v>
      </c>
    </row>
    <row r="122" spans="1:9" x14ac:dyDescent="0.2">
      <c r="A122">
        <v>137662.21049</v>
      </c>
      <c r="B122" t="s">
        <v>280</v>
      </c>
      <c r="C122"/>
      <c r="D122"/>
      <c r="E122" t="s">
        <v>369</v>
      </c>
      <c r="F122"/>
      <c r="G122" t="s">
        <v>369</v>
      </c>
      <c r="H122" t="s">
        <v>462</v>
      </c>
      <c r="I122" t="s">
        <v>462</v>
      </c>
    </row>
    <row r="123" spans="1:9" x14ac:dyDescent="0.2">
      <c r="A123">
        <v>0.16</v>
      </c>
      <c r="B123" t="s">
        <v>211</v>
      </c>
      <c r="C123"/>
      <c r="D123"/>
      <c r="E123" t="s">
        <v>369</v>
      </c>
      <c r="F123"/>
      <c r="G123" t="s">
        <v>369</v>
      </c>
      <c r="H123" t="s">
        <v>463</v>
      </c>
      <c r="I123" t="s">
        <v>463</v>
      </c>
    </row>
    <row r="124" spans="1:9" x14ac:dyDescent="0.2">
      <c r="A124">
        <v>23611.73</v>
      </c>
      <c r="B124" t="s">
        <v>234</v>
      </c>
      <c r="C124"/>
      <c r="D124"/>
      <c r="E124" t="s">
        <v>369</v>
      </c>
      <c r="F124"/>
      <c r="G124" t="s">
        <v>369</v>
      </c>
      <c r="H124" t="s">
        <v>464</v>
      </c>
      <c r="I124" t="s">
        <v>464</v>
      </c>
    </row>
    <row r="125" spans="1:9" x14ac:dyDescent="0.2">
      <c r="A125">
        <v>107.29822194</v>
      </c>
      <c r="B125" t="s">
        <v>359</v>
      </c>
      <c r="C125"/>
      <c r="D125"/>
      <c r="E125" t="s">
        <v>369</v>
      </c>
      <c r="F125"/>
      <c r="G125" t="s">
        <v>369</v>
      </c>
      <c r="H125" t="s">
        <v>465</v>
      </c>
      <c r="I125" t="s">
        <v>465</v>
      </c>
    </row>
    <row r="126" spans="1:9" x14ac:dyDescent="0.2">
      <c r="A126">
        <v>15</v>
      </c>
      <c r="B126" t="s">
        <v>341</v>
      </c>
      <c r="C126"/>
      <c r="D126"/>
      <c r="E126" t="s">
        <v>369</v>
      </c>
      <c r="F126"/>
      <c r="G126" t="s">
        <v>369</v>
      </c>
      <c r="H126" t="s">
        <v>369</v>
      </c>
      <c r="I126" t="s">
        <v>369</v>
      </c>
    </row>
    <row r="127" spans="1:9" x14ac:dyDescent="0.2">
      <c r="A127">
        <v>7.5490000000000004</v>
      </c>
      <c r="B127" t="s">
        <v>185</v>
      </c>
      <c r="C127"/>
      <c r="D127"/>
      <c r="E127" t="s">
        <v>369</v>
      </c>
      <c r="F127"/>
      <c r="G127" t="s">
        <v>369</v>
      </c>
      <c r="H127" t="s">
        <v>466</v>
      </c>
      <c r="I127" t="s">
        <v>466</v>
      </c>
    </row>
    <row r="128" spans="1:9" x14ac:dyDescent="0.2">
      <c r="A128">
        <v>27777.77</v>
      </c>
      <c r="B128" t="s">
        <v>210</v>
      </c>
      <c r="C128"/>
      <c r="D128"/>
      <c r="E128" t="s">
        <v>369</v>
      </c>
      <c r="F128"/>
      <c r="G128" t="s">
        <v>369</v>
      </c>
      <c r="H128" t="s">
        <v>467</v>
      </c>
      <c r="I128" t="s">
        <v>467</v>
      </c>
    </row>
    <row r="129" spans="1:9" x14ac:dyDescent="0.2">
      <c r="A129">
        <v>2.7350000000000001E-5</v>
      </c>
      <c r="B129" t="s">
        <v>314</v>
      </c>
      <c r="C129"/>
      <c r="D129"/>
      <c r="E129" t="s">
        <v>369</v>
      </c>
      <c r="F129"/>
      <c r="G129" t="s">
        <v>369</v>
      </c>
      <c r="H129" t="s">
        <v>369</v>
      </c>
      <c r="I129" t="s">
        <v>369</v>
      </c>
    </row>
    <row r="130" spans="1:9" x14ac:dyDescent="0.2">
      <c r="A130">
        <v>52.478842999999998</v>
      </c>
      <c r="B130" t="s">
        <v>126</v>
      </c>
      <c r="C130"/>
      <c r="D130"/>
      <c r="E130" t="s">
        <v>369</v>
      </c>
      <c r="F130"/>
      <c r="G130" t="s">
        <v>369</v>
      </c>
      <c r="H130" t="s">
        <v>468</v>
      </c>
      <c r="I130" t="s">
        <v>468</v>
      </c>
    </row>
    <row r="131" spans="1:9" x14ac:dyDescent="0.2">
      <c r="A131">
        <v>11.4519003</v>
      </c>
      <c r="B131" t="s">
        <v>202</v>
      </c>
      <c r="C131"/>
      <c r="D131"/>
      <c r="E131" t="s">
        <v>369</v>
      </c>
      <c r="F131"/>
      <c r="G131" t="s">
        <v>369</v>
      </c>
      <c r="H131" t="s">
        <v>469</v>
      </c>
      <c r="I131" t="s">
        <v>469</v>
      </c>
    </row>
    <row r="132" spans="1:9" x14ac:dyDescent="0.2">
      <c r="A132">
        <v>737.35942352999996</v>
      </c>
      <c r="B132" t="s">
        <v>168</v>
      </c>
      <c r="C132"/>
      <c r="D132"/>
      <c r="E132" t="s">
        <v>369</v>
      </c>
      <c r="F132"/>
      <c r="G132" t="s">
        <v>369</v>
      </c>
      <c r="H132" t="s">
        <v>470</v>
      </c>
      <c r="I132" t="s">
        <v>470</v>
      </c>
    </row>
    <row r="133" spans="1:9" x14ac:dyDescent="0.2">
      <c r="A133">
        <v>50000</v>
      </c>
      <c r="B133" t="s">
        <v>229</v>
      </c>
      <c r="C133"/>
      <c r="D133"/>
      <c r="E133" t="s">
        <v>369</v>
      </c>
      <c r="F133"/>
      <c r="G133" t="s">
        <v>369</v>
      </c>
      <c r="H133" t="s">
        <v>471</v>
      </c>
      <c r="I133" t="s">
        <v>471</v>
      </c>
    </row>
    <row r="134" spans="1:9" x14ac:dyDescent="0.2">
      <c r="A134">
        <v>40000</v>
      </c>
      <c r="B134" t="s">
        <v>142</v>
      </c>
      <c r="C134"/>
      <c r="D134"/>
      <c r="E134" t="s">
        <v>369</v>
      </c>
      <c r="F134"/>
      <c r="G134" t="s">
        <v>369</v>
      </c>
      <c r="H134" t="s">
        <v>472</v>
      </c>
      <c r="I134" t="s">
        <v>472</v>
      </c>
    </row>
    <row r="135" spans="1:9" x14ac:dyDescent="0.2">
      <c r="A135">
        <v>1.0000000000000001E-5</v>
      </c>
      <c r="B135" t="s">
        <v>134</v>
      </c>
      <c r="C135"/>
      <c r="D135"/>
      <c r="E135" t="s">
        <v>369</v>
      </c>
      <c r="F135"/>
      <c r="G135" t="s">
        <v>369</v>
      </c>
      <c r="H135" t="s">
        <v>369</v>
      </c>
      <c r="I135" t="s">
        <v>369</v>
      </c>
    </row>
    <row r="136" spans="1:9" x14ac:dyDescent="0.2">
      <c r="A136">
        <v>43178.602500000001</v>
      </c>
      <c r="B136" t="s">
        <v>153</v>
      </c>
      <c r="C136"/>
      <c r="D136"/>
      <c r="E136" t="s">
        <v>369</v>
      </c>
      <c r="F136"/>
      <c r="G136" t="s">
        <v>369</v>
      </c>
      <c r="H136" t="s">
        <v>473</v>
      </c>
      <c r="I136" t="s">
        <v>473</v>
      </c>
    </row>
    <row r="137" spans="1:9" x14ac:dyDescent="0.2">
      <c r="A137">
        <v>62.556308850000001</v>
      </c>
      <c r="B137" t="s">
        <v>324</v>
      </c>
      <c r="C137"/>
      <c r="D137"/>
      <c r="E137" t="s">
        <v>369</v>
      </c>
      <c r="F137"/>
      <c r="G137" t="s">
        <v>369</v>
      </c>
      <c r="H137" t="s">
        <v>474</v>
      </c>
      <c r="I137" t="s">
        <v>474</v>
      </c>
    </row>
    <row r="138" spans="1:9" x14ac:dyDescent="0.2">
      <c r="A138">
        <v>4.0000000000000003E-5</v>
      </c>
      <c r="B138" t="s">
        <v>326</v>
      </c>
      <c r="C138"/>
      <c r="D138"/>
      <c r="E138" t="s">
        <v>369</v>
      </c>
      <c r="F138"/>
      <c r="G138" t="s">
        <v>369</v>
      </c>
      <c r="H138" t="s">
        <v>369</v>
      </c>
      <c r="I138" t="s">
        <v>369</v>
      </c>
    </row>
    <row r="139" spans="1:9" x14ac:dyDescent="0.2">
      <c r="A139">
        <v>11528.006900300001</v>
      </c>
      <c r="B139" t="s">
        <v>355</v>
      </c>
      <c r="C139"/>
      <c r="D139"/>
      <c r="E139" t="s">
        <v>369</v>
      </c>
      <c r="F139"/>
      <c r="G139" t="s">
        <v>369</v>
      </c>
      <c r="H139" t="s">
        <v>475</v>
      </c>
      <c r="I139" t="s">
        <v>475</v>
      </c>
    </row>
    <row r="140" spans="1:9" x14ac:dyDescent="0.2">
      <c r="A140">
        <v>430.3048665</v>
      </c>
      <c r="B140" t="s">
        <v>364</v>
      </c>
      <c r="C140"/>
      <c r="D140"/>
      <c r="E140" t="s">
        <v>369</v>
      </c>
      <c r="F140"/>
      <c r="G140" t="s">
        <v>369</v>
      </c>
      <c r="H140" t="s">
        <v>476</v>
      </c>
      <c r="I140" t="s">
        <v>476</v>
      </c>
    </row>
    <row r="141" spans="1:9" x14ac:dyDescent="0.2">
      <c r="A141">
        <v>1.9999999999999999E-7</v>
      </c>
      <c r="B141" t="s">
        <v>217</v>
      </c>
      <c r="C141"/>
      <c r="D141"/>
      <c r="E141" t="s">
        <v>369</v>
      </c>
      <c r="F141"/>
      <c r="G141" t="s">
        <v>369</v>
      </c>
      <c r="H141" t="s">
        <v>369</v>
      </c>
      <c r="I141" t="s">
        <v>369</v>
      </c>
    </row>
    <row r="142" spans="1:9" x14ac:dyDescent="0.2">
      <c r="A142">
        <v>19150000</v>
      </c>
      <c r="B142" t="s">
        <v>242</v>
      </c>
      <c r="C142"/>
      <c r="D142"/>
      <c r="E142" t="s">
        <v>369</v>
      </c>
      <c r="F142"/>
      <c r="G142" t="s">
        <v>369</v>
      </c>
      <c r="H142" t="s">
        <v>477</v>
      </c>
      <c r="I142" t="s">
        <v>477</v>
      </c>
    </row>
    <row r="143" spans="1:9" x14ac:dyDescent="0.2">
      <c r="A143">
        <v>11909.56444041</v>
      </c>
      <c r="B143" t="s">
        <v>325</v>
      </c>
      <c r="C143"/>
      <c r="D143"/>
      <c r="E143" t="s">
        <v>369</v>
      </c>
      <c r="F143"/>
      <c r="G143" t="s">
        <v>369</v>
      </c>
      <c r="H143" t="s">
        <v>478</v>
      </c>
      <c r="I143" t="s">
        <v>478</v>
      </c>
    </row>
    <row r="144" spans="1:9" x14ac:dyDescent="0.2">
      <c r="A144">
        <v>3001.5</v>
      </c>
      <c r="B144" t="s">
        <v>163</v>
      </c>
      <c r="C144"/>
      <c r="D144"/>
      <c r="E144" t="s">
        <v>369</v>
      </c>
      <c r="F144"/>
      <c r="G144" t="s">
        <v>369</v>
      </c>
      <c r="H144" t="s">
        <v>479</v>
      </c>
      <c r="I144" t="s">
        <v>479</v>
      </c>
    </row>
    <row r="145" spans="1:9" x14ac:dyDescent="0.2">
      <c r="A145">
        <v>3600001</v>
      </c>
      <c r="B145" t="s">
        <v>263</v>
      </c>
      <c r="C145"/>
      <c r="D145"/>
      <c r="E145" t="s">
        <v>369</v>
      </c>
      <c r="F145"/>
      <c r="G145" t="s">
        <v>369</v>
      </c>
      <c r="H145" t="s">
        <v>369</v>
      </c>
      <c r="I145" t="s">
        <v>369</v>
      </c>
    </row>
    <row r="146" spans="1:9" x14ac:dyDescent="0.2">
      <c r="A146">
        <v>1508.97</v>
      </c>
      <c r="B146" t="s">
        <v>191</v>
      </c>
      <c r="C146"/>
      <c r="D146"/>
      <c r="E146" t="s">
        <v>369</v>
      </c>
      <c r="F146"/>
      <c r="G146" t="s">
        <v>369</v>
      </c>
      <c r="H146" t="s">
        <v>480</v>
      </c>
      <c r="I146" t="s">
        <v>480</v>
      </c>
    </row>
    <row r="147" spans="1:9" x14ac:dyDescent="0.2">
      <c r="A147">
        <v>11000</v>
      </c>
      <c r="B147" t="s">
        <v>159</v>
      </c>
      <c r="C147"/>
      <c r="D147"/>
      <c r="E147" t="s">
        <v>369</v>
      </c>
      <c r="F147"/>
      <c r="G147" t="s">
        <v>369</v>
      </c>
      <c r="H147" t="s">
        <v>481</v>
      </c>
      <c r="I147" t="s">
        <v>481</v>
      </c>
    </row>
    <row r="148" spans="1:9" x14ac:dyDescent="0.2">
      <c r="A148">
        <v>48870.7333</v>
      </c>
      <c r="B148" t="s">
        <v>250</v>
      </c>
      <c r="C148"/>
      <c r="D148"/>
      <c r="E148" t="s">
        <v>369</v>
      </c>
      <c r="F148"/>
      <c r="G148" t="s">
        <v>369</v>
      </c>
      <c r="H148" t="s">
        <v>482</v>
      </c>
      <c r="I148" t="s">
        <v>482</v>
      </c>
    </row>
    <row r="149" spans="1:9" x14ac:dyDescent="0.2">
      <c r="A149">
        <v>1</v>
      </c>
      <c r="B149" t="s">
        <v>121</v>
      </c>
      <c r="C149"/>
      <c r="D149"/>
      <c r="E149" t="s">
        <v>369</v>
      </c>
      <c r="F149"/>
      <c r="G149" t="s">
        <v>369</v>
      </c>
      <c r="H149" t="s">
        <v>369</v>
      </c>
      <c r="I149" t="s">
        <v>369</v>
      </c>
    </row>
    <row r="150" spans="1:9" x14ac:dyDescent="0.2">
      <c r="A150">
        <v>1284.34781</v>
      </c>
      <c r="B150" t="s">
        <v>246</v>
      </c>
      <c r="C150"/>
      <c r="D150"/>
      <c r="E150" t="s">
        <v>369</v>
      </c>
      <c r="F150"/>
      <c r="G150" t="s">
        <v>369</v>
      </c>
      <c r="H150" t="s">
        <v>483</v>
      </c>
      <c r="I150" t="s">
        <v>483</v>
      </c>
    </row>
    <row r="151" spans="1:9" x14ac:dyDescent="0.2">
      <c r="A151">
        <v>1</v>
      </c>
      <c r="B151" t="s">
        <v>318</v>
      </c>
      <c r="C151"/>
      <c r="D151"/>
      <c r="E151" t="s">
        <v>369</v>
      </c>
      <c r="F151"/>
      <c r="G151" t="s">
        <v>369</v>
      </c>
      <c r="H151" t="s">
        <v>484</v>
      </c>
      <c r="I151" t="s">
        <v>484</v>
      </c>
    </row>
    <row r="152" spans="1:9" x14ac:dyDescent="0.2">
      <c r="A152">
        <v>24535.22</v>
      </c>
      <c r="B152" t="s">
        <v>292</v>
      </c>
      <c r="C152"/>
      <c r="D152"/>
      <c r="E152" t="s">
        <v>369</v>
      </c>
      <c r="F152"/>
      <c r="G152" t="s">
        <v>369</v>
      </c>
      <c r="H152" t="s">
        <v>485</v>
      </c>
      <c r="I152" t="s">
        <v>485</v>
      </c>
    </row>
    <row r="153" spans="1:9" x14ac:dyDescent="0.2">
      <c r="A153">
        <v>1111111.111</v>
      </c>
      <c r="B153" t="s">
        <v>313</v>
      </c>
      <c r="C153"/>
      <c r="D153"/>
      <c r="E153" t="s">
        <v>369</v>
      </c>
      <c r="F153"/>
      <c r="G153" t="s">
        <v>369</v>
      </c>
      <c r="H153" t="s">
        <v>486</v>
      </c>
      <c r="I153" t="s">
        <v>486</v>
      </c>
    </row>
    <row r="154" spans="1:9" x14ac:dyDescent="0.2">
      <c r="A154">
        <v>3.0000000000000001E-5</v>
      </c>
      <c r="B154" t="s">
        <v>173</v>
      </c>
      <c r="C154"/>
      <c r="D154"/>
      <c r="E154" t="s">
        <v>369</v>
      </c>
      <c r="F154"/>
      <c r="G154" t="s">
        <v>369</v>
      </c>
      <c r="H154" t="s">
        <v>369</v>
      </c>
      <c r="I154" t="s">
        <v>369</v>
      </c>
    </row>
    <row r="155" spans="1:9" x14ac:dyDescent="0.2">
      <c r="A155">
        <v>310696.7</v>
      </c>
      <c r="B155" t="s">
        <v>174</v>
      </c>
      <c r="C155"/>
      <c r="D155"/>
      <c r="E155" t="s">
        <v>369</v>
      </c>
      <c r="F155"/>
      <c r="G155" t="s">
        <v>369</v>
      </c>
      <c r="H155" t="s">
        <v>487</v>
      </c>
      <c r="I155" t="s">
        <v>487</v>
      </c>
    </row>
    <row r="156" spans="1:9" x14ac:dyDescent="0.2">
      <c r="A156">
        <v>0.33</v>
      </c>
      <c r="B156" t="s">
        <v>274</v>
      </c>
      <c r="C156"/>
      <c r="D156"/>
      <c r="E156" t="s">
        <v>369</v>
      </c>
      <c r="F156"/>
      <c r="G156" t="s">
        <v>369</v>
      </c>
      <c r="H156" t="s">
        <v>488</v>
      </c>
      <c r="I156" t="s">
        <v>488</v>
      </c>
    </row>
    <row r="157" spans="1:9" x14ac:dyDescent="0.2">
      <c r="A157">
        <v>1940513.30593815</v>
      </c>
      <c r="B157" t="s">
        <v>155</v>
      </c>
      <c r="C157"/>
      <c r="D157"/>
      <c r="E157" t="s">
        <v>369</v>
      </c>
      <c r="F157"/>
      <c r="G157" t="s">
        <v>369</v>
      </c>
      <c r="H157" t="s">
        <v>369</v>
      </c>
      <c r="I157" t="s">
        <v>369</v>
      </c>
    </row>
    <row r="158" spans="1:9" x14ac:dyDescent="0.2">
      <c r="A158">
        <v>62496.875</v>
      </c>
      <c r="B158" t="s">
        <v>317</v>
      </c>
      <c r="C158"/>
      <c r="D158"/>
      <c r="E158" t="s">
        <v>369</v>
      </c>
      <c r="F158"/>
      <c r="G158" t="s">
        <v>369</v>
      </c>
      <c r="H158" t="s">
        <v>489</v>
      </c>
      <c r="I158" t="s">
        <v>489</v>
      </c>
    </row>
    <row r="159" spans="1:9" x14ac:dyDescent="0.2">
      <c r="A159">
        <v>124993.75</v>
      </c>
      <c r="B159" t="s">
        <v>319</v>
      </c>
      <c r="C159"/>
      <c r="D159"/>
      <c r="E159" t="s">
        <v>369</v>
      </c>
      <c r="F159"/>
      <c r="G159" t="s">
        <v>369</v>
      </c>
      <c r="H159" t="s">
        <v>369</v>
      </c>
      <c r="I159" t="s">
        <v>369</v>
      </c>
    </row>
    <row r="160" spans="1:9" x14ac:dyDescent="0.2">
      <c r="A160">
        <v>124993.75</v>
      </c>
      <c r="B160" t="s">
        <v>144</v>
      </c>
      <c r="C160"/>
      <c r="D160"/>
      <c r="E160" t="s">
        <v>369</v>
      </c>
      <c r="F160"/>
      <c r="G160" t="s">
        <v>369</v>
      </c>
      <c r="H160" t="s">
        <v>369</v>
      </c>
      <c r="I160" t="s">
        <v>369</v>
      </c>
    </row>
    <row r="161" spans="1:9" x14ac:dyDescent="0.2">
      <c r="A161">
        <v>2854602.1434599902</v>
      </c>
      <c r="B161" t="s">
        <v>265</v>
      </c>
      <c r="C161"/>
      <c r="D161"/>
      <c r="E161" t="s">
        <v>369</v>
      </c>
      <c r="F161"/>
      <c r="G161" t="s">
        <v>369</v>
      </c>
      <c r="H161" t="s">
        <v>490</v>
      </c>
      <c r="I161" t="s">
        <v>490</v>
      </c>
    </row>
    <row r="162" spans="1:9" x14ac:dyDescent="0.2">
      <c r="A162">
        <v>2583500.6</v>
      </c>
      <c r="B162" t="s">
        <v>251</v>
      </c>
      <c r="C162"/>
      <c r="D162"/>
      <c r="E162" t="s">
        <v>369</v>
      </c>
      <c r="F162"/>
      <c r="G162" t="s">
        <v>369</v>
      </c>
      <c r="H162" t="s">
        <v>491</v>
      </c>
      <c r="I162" t="s">
        <v>491</v>
      </c>
    </row>
    <row r="163" spans="1:9" x14ac:dyDescent="0.2">
      <c r="A163">
        <v>1E-8</v>
      </c>
      <c r="B163" t="s">
        <v>247</v>
      </c>
      <c r="C163"/>
      <c r="D163"/>
      <c r="E163" t="s">
        <v>369</v>
      </c>
      <c r="F163"/>
      <c r="G163" t="s">
        <v>369</v>
      </c>
      <c r="H163" t="s">
        <v>369</v>
      </c>
      <c r="I163" t="s">
        <v>369</v>
      </c>
    </row>
    <row r="164" spans="1:9" x14ac:dyDescent="0.2">
      <c r="A164">
        <v>1</v>
      </c>
      <c r="B164" t="s">
        <v>201</v>
      </c>
      <c r="C164"/>
      <c r="D164"/>
      <c r="E164" t="s">
        <v>369</v>
      </c>
      <c r="F164"/>
      <c r="G164" t="s">
        <v>369</v>
      </c>
      <c r="H164" t="s">
        <v>369</v>
      </c>
      <c r="I164" t="s">
        <v>369</v>
      </c>
    </row>
    <row r="165" spans="1:9" x14ac:dyDescent="0.2">
      <c r="A165">
        <v>13.756</v>
      </c>
      <c r="B165" t="s">
        <v>315</v>
      </c>
      <c r="C165"/>
      <c r="D165"/>
      <c r="E165" t="s">
        <v>369</v>
      </c>
      <c r="F165"/>
      <c r="G165" t="s">
        <v>369</v>
      </c>
      <c r="H165" t="s">
        <v>492</v>
      </c>
      <c r="I165" t="s">
        <v>492</v>
      </c>
    </row>
    <row r="166" spans="1:9" x14ac:dyDescent="0.2">
      <c r="A166">
        <v>4.26728E-3</v>
      </c>
      <c r="B166" t="s">
        <v>253</v>
      </c>
      <c r="C166"/>
      <c r="D166"/>
      <c r="E166" t="s">
        <v>369</v>
      </c>
      <c r="F166"/>
      <c r="G166" t="s">
        <v>369</v>
      </c>
      <c r="H166" t="s">
        <v>493</v>
      </c>
      <c r="I166" t="s">
        <v>493</v>
      </c>
    </row>
    <row r="167" spans="1:9" x14ac:dyDescent="0.2">
      <c r="A167">
        <v>20000</v>
      </c>
      <c r="B167" t="s">
        <v>232</v>
      </c>
      <c r="C167"/>
      <c r="D167"/>
      <c r="E167" t="s">
        <v>369</v>
      </c>
      <c r="F167"/>
      <c r="G167" t="s">
        <v>369</v>
      </c>
      <c r="H167" t="s">
        <v>494</v>
      </c>
      <c r="I167" t="s">
        <v>494</v>
      </c>
    </row>
    <row r="168" spans="1:9" x14ac:dyDescent="0.2">
      <c r="A168">
        <v>1000</v>
      </c>
      <c r="B168" t="s">
        <v>148</v>
      </c>
      <c r="C168"/>
      <c r="D168"/>
      <c r="E168" t="s">
        <v>369</v>
      </c>
      <c r="F168"/>
      <c r="G168" t="s">
        <v>369</v>
      </c>
      <c r="H168" t="s">
        <v>495</v>
      </c>
      <c r="I168" t="s">
        <v>495</v>
      </c>
    </row>
    <row r="169" spans="1:9" x14ac:dyDescent="0.2">
      <c r="A169">
        <v>23.445912880000002</v>
      </c>
      <c r="B169" t="s">
        <v>167</v>
      </c>
      <c r="C169"/>
      <c r="D169"/>
      <c r="E169" t="s">
        <v>369</v>
      </c>
      <c r="F169"/>
      <c r="G169" t="s">
        <v>369</v>
      </c>
      <c r="H169" t="s">
        <v>496</v>
      </c>
      <c r="I169" t="s">
        <v>496</v>
      </c>
    </row>
    <row r="170" spans="1:9" x14ac:dyDescent="0.2">
      <c r="A170">
        <v>62500</v>
      </c>
      <c r="B170" t="s">
        <v>195</v>
      </c>
      <c r="C170"/>
      <c r="D170"/>
      <c r="E170" t="s">
        <v>369</v>
      </c>
      <c r="F170"/>
      <c r="G170" t="s">
        <v>369</v>
      </c>
      <c r="H170" t="s">
        <v>497</v>
      </c>
      <c r="I170" t="s">
        <v>497</v>
      </c>
    </row>
    <row r="171" spans="1:9" x14ac:dyDescent="0.2">
      <c r="A171">
        <v>431818.1</v>
      </c>
      <c r="B171" t="s">
        <v>206</v>
      </c>
      <c r="C171"/>
      <c r="D171"/>
      <c r="E171" t="s">
        <v>369</v>
      </c>
      <c r="F171"/>
      <c r="G171" t="s">
        <v>369</v>
      </c>
      <c r="H171" t="s">
        <v>498</v>
      </c>
      <c r="I171" t="s">
        <v>498</v>
      </c>
    </row>
    <row r="172" spans="1:9" x14ac:dyDescent="0.2">
      <c r="A172">
        <v>7.8</v>
      </c>
      <c r="B172" t="s">
        <v>181</v>
      </c>
      <c r="C172"/>
      <c r="D172"/>
      <c r="E172" t="s">
        <v>369</v>
      </c>
      <c r="F172"/>
      <c r="G172" t="s">
        <v>369</v>
      </c>
      <c r="H172" t="s">
        <v>369</v>
      </c>
      <c r="I172" t="s">
        <v>369</v>
      </c>
    </row>
    <row r="173" spans="1:9" x14ac:dyDescent="0.2">
      <c r="A173">
        <v>24748960.789999999</v>
      </c>
      <c r="B173" t="s">
        <v>237</v>
      </c>
      <c r="C173"/>
      <c r="D173"/>
      <c r="E173" t="s">
        <v>369</v>
      </c>
      <c r="F173"/>
      <c r="G173" t="s">
        <v>369</v>
      </c>
      <c r="H173" t="s">
        <v>499</v>
      </c>
      <c r="I173" t="s">
        <v>499</v>
      </c>
    </row>
    <row r="174" spans="1:9" x14ac:dyDescent="0.2">
      <c r="A174">
        <v>100.21642772</v>
      </c>
      <c r="B174" t="s">
        <v>260</v>
      </c>
      <c r="C174"/>
      <c r="D174"/>
      <c r="E174" t="s">
        <v>369</v>
      </c>
      <c r="F174"/>
      <c r="G174" t="s">
        <v>369</v>
      </c>
      <c r="H174" t="s">
        <v>500</v>
      </c>
      <c r="I174" t="s">
        <v>500</v>
      </c>
    </row>
    <row r="175" spans="1:9" x14ac:dyDescent="0.2">
      <c r="A175">
        <v>2564.1025639999998</v>
      </c>
      <c r="B175" t="s">
        <v>215</v>
      </c>
      <c r="C175"/>
      <c r="D175"/>
      <c r="E175" t="s">
        <v>369</v>
      </c>
      <c r="F175"/>
      <c r="G175" t="s">
        <v>369</v>
      </c>
      <c r="H175" t="s">
        <v>501</v>
      </c>
      <c r="I175" t="s">
        <v>501</v>
      </c>
    </row>
    <row r="176" spans="1:9" x14ac:dyDescent="0.2">
      <c r="A176">
        <v>1116791.6669999999</v>
      </c>
      <c r="B176" t="s">
        <v>244</v>
      </c>
      <c r="C176"/>
      <c r="D176"/>
      <c r="E176" t="s">
        <v>369</v>
      </c>
      <c r="F176"/>
      <c r="G176" t="s">
        <v>369</v>
      </c>
      <c r="H176" t="s">
        <v>502</v>
      </c>
      <c r="I176" t="s">
        <v>502</v>
      </c>
    </row>
    <row r="177" spans="1:9" x14ac:dyDescent="0.2">
      <c r="A177">
        <v>104000</v>
      </c>
      <c r="B177" t="s">
        <v>290</v>
      </c>
      <c r="C177"/>
      <c r="D177"/>
      <c r="E177" t="s">
        <v>369</v>
      </c>
      <c r="F177"/>
      <c r="G177" t="s">
        <v>369</v>
      </c>
      <c r="H177" t="s">
        <v>503</v>
      </c>
      <c r="I177" t="s">
        <v>503</v>
      </c>
    </row>
    <row r="178" spans="1:9" x14ac:dyDescent="0.2">
      <c r="A178">
        <v>697.3503518</v>
      </c>
      <c r="B178" t="s">
        <v>190</v>
      </c>
      <c r="C178"/>
      <c r="D178"/>
      <c r="E178" t="s">
        <v>369</v>
      </c>
      <c r="F178"/>
      <c r="G178" t="s">
        <v>369</v>
      </c>
      <c r="H178" t="s">
        <v>369</v>
      </c>
      <c r="I178" t="s">
        <v>369</v>
      </c>
    </row>
    <row r="179" spans="1:9" x14ac:dyDescent="0.2">
      <c r="A179">
        <v>169491</v>
      </c>
      <c r="B179" t="s">
        <v>194</v>
      </c>
      <c r="C179"/>
      <c r="D179"/>
      <c r="E179" t="s">
        <v>369</v>
      </c>
      <c r="F179"/>
      <c r="G179" t="s">
        <v>369</v>
      </c>
      <c r="H179" t="s">
        <v>369</v>
      </c>
      <c r="I179" t="s">
        <v>369</v>
      </c>
    </row>
    <row r="180" spans="1:9" x14ac:dyDescent="0.2">
      <c r="A180">
        <v>444444</v>
      </c>
      <c r="B180" t="s">
        <v>214</v>
      </c>
      <c r="C180"/>
      <c r="D180"/>
      <c r="E180" t="s">
        <v>369</v>
      </c>
      <c r="F180"/>
      <c r="G180" t="s">
        <v>369</v>
      </c>
      <c r="H180" t="s">
        <v>504</v>
      </c>
      <c r="I180" t="s">
        <v>504</v>
      </c>
    </row>
    <row r="181" spans="1:9" x14ac:dyDescent="0.2">
      <c r="A181">
        <v>7.4352999999999995E-4</v>
      </c>
      <c r="B181" t="s">
        <v>333</v>
      </c>
      <c r="C181"/>
      <c r="D181"/>
      <c r="E181" t="s">
        <v>369</v>
      </c>
      <c r="F181"/>
      <c r="G181" t="s">
        <v>369</v>
      </c>
      <c r="H181" t="s">
        <v>505</v>
      </c>
      <c r="I181" t="s">
        <v>505</v>
      </c>
    </row>
    <row r="182" spans="1:9" x14ac:dyDescent="0.2">
      <c r="A182">
        <v>262221</v>
      </c>
      <c r="B182" t="s">
        <v>306</v>
      </c>
      <c r="C182"/>
      <c r="D182"/>
      <c r="E182" t="s">
        <v>369</v>
      </c>
      <c r="F182"/>
      <c r="G182" t="s">
        <v>369</v>
      </c>
      <c r="H182" t="s">
        <v>506</v>
      </c>
      <c r="I182" t="s">
        <v>506</v>
      </c>
    </row>
    <row r="183" spans="1:9" x14ac:dyDescent="0.2">
      <c r="A183">
        <v>0.12086444</v>
      </c>
      <c r="B183" t="s">
        <v>299</v>
      </c>
      <c r="C183"/>
      <c r="D183"/>
      <c r="E183" t="s">
        <v>369</v>
      </c>
      <c r="F183"/>
      <c r="G183" t="s">
        <v>369</v>
      </c>
      <c r="H183" t="s">
        <v>369</v>
      </c>
      <c r="I183" t="s">
        <v>369</v>
      </c>
    </row>
    <row r="184" spans="1:9" x14ac:dyDescent="0.2">
      <c r="A184">
        <v>75.152546290000004</v>
      </c>
      <c r="B184" t="s">
        <v>146</v>
      </c>
      <c r="C184"/>
      <c r="D184"/>
      <c r="E184" t="s">
        <v>369</v>
      </c>
      <c r="F184"/>
      <c r="G184" t="s">
        <v>369</v>
      </c>
      <c r="H184" t="s">
        <v>507</v>
      </c>
      <c r="I184" t="s">
        <v>507</v>
      </c>
    </row>
    <row r="185" spans="1:9" x14ac:dyDescent="0.2">
      <c r="A185">
        <v>4.45E-3</v>
      </c>
      <c r="B185" t="s">
        <v>216</v>
      </c>
      <c r="C185"/>
      <c r="D185"/>
      <c r="E185" t="s">
        <v>369</v>
      </c>
      <c r="F185"/>
      <c r="G185" t="s">
        <v>369</v>
      </c>
      <c r="H185" t="s">
        <v>369</v>
      </c>
      <c r="I185" t="s">
        <v>369</v>
      </c>
    </row>
    <row r="186" spans="1:9" x14ac:dyDescent="0.2">
      <c r="A186">
        <v>45.433278090000002</v>
      </c>
      <c r="B186" t="s">
        <v>347</v>
      </c>
      <c r="C186"/>
      <c r="D186"/>
      <c r="E186" t="s">
        <v>369</v>
      </c>
      <c r="F186"/>
      <c r="G186" t="s">
        <v>369</v>
      </c>
      <c r="H186" t="s">
        <v>508</v>
      </c>
      <c r="I186" t="s">
        <v>508</v>
      </c>
    </row>
    <row r="187" spans="1:9" x14ac:dyDescent="0.2">
      <c r="A187">
        <v>5046045467.2840118</v>
      </c>
      <c r="B187" t="s">
        <v>221</v>
      </c>
      <c r="C187"/>
      <c r="D187"/>
      <c r="E187" t="s">
        <v>369</v>
      </c>
      <c r="F187"/>
      <c r="G187" t="s">
        <v>369</v>
      </c>
      <c r="H187" t="s">
        <v>509</v>
      </c>
      <c r="I187" t="s">
        <v>509</v>
      </c>
    </row>
    <row r="188" spans="1:9" x14ac:dyDescent="0.2">
      <c r="A188">
        <v>17345.469185850001</v>
      </c>
      <c r="B188" t="s">
        <v>361</v>
      </c>
      <c r="C188"/>
      <c r="D188"/>
      <c r="E188" t="s">
        <v>369</v>
      </c>
      <c r="F188"/>
      <c r="G188" t="s">
        <v>369</v>
      </c>
      <c r="H188" t="s">
        <v>510</v>
      </c>
      <c r="I188" t="s">
        <v>510</v>
      </c>
    </row>
    <row r="189" spans="1:9" x14ac:dyDescent="0.2">
      <c r="A189">
        <v>475690</v>
      </c>
      <c r="B189" t="s">
        <v>281</v>
      </c>
      <c r="C189"/>
      <c r="D189"/>
      <c r="E189" t="s">
        <v>369</v>
      </c>
      <c r="F189"/>
      <c r="G189" t="s">
        <v>369</v>
      </c>
      <c r="H189" t="s">
        <v>511</v>
      </c>
      <c r="I189" t="s">
        <v>511</v>
      </c>
    </row>
    <row r="190" spans="1:9" x14ac:dyDescent="0.2">
      <c r="A190">
        <v>10000</v>
      </c>
      <c r="B190" t="s">
        <v>279</v>
      </c>
      <c r="C190"/>
      <c r="D190"/>
      <c r="E190" t="s">
        <v>369</v>
      </c>
      <c r="F190"/>
      <c r="G190" t="s">
        <v>369</v>
      </c>
      <c r="H190" t="s">
        <v>512</v>
      </c>
      <c r="I190" t="s">
        <v>512</v>
      </c>
    </row>
    <row r="191" spans="1:9" x14ac:dyDescent="0.2">
      <c r="A191">
        <v>721.89</v>
      </c>
      <c r="B191" t="s">
        <v>312</v>
      </c>
      <c r="C191"/>
      <c r="D191"/>
      <c r="E191" t="s">
        <v>369</v>
      </c>
      <c r="F191"/>
      <c r="G191" t="s">
        <v>369</v>
      </c>
      <c r="H191" t="s">
        <v>513</v>
      </c>
      <c r="I191" t="s">
        <v>513</v>
      </c>
    </row>
    <row r="192" spans="1:9" x14ac:dyDescent="0.2">
      <c r="A192">
        <v>500000</v>
      </c>
      <c r="B192" t="s">
        <v>245</v>
      </c>
      <c r="C192"/>
      <c r="D192"/>
      <c r="E192" t="s">
        <v>369</v>
      </c>
      <c r="F192"/>
      <c r="G192" t="s">
        <v>369</v>
      </c>
      <c r="H192" t="s">
        <v>514</v>
      </c>
      <c r="I192" t="s">
        <v>514</v>
      </c>
    </row>
    <row r="193" spans="1:9" x14ac:dyDescent="0.2">
      <c r="A193">
        <v>2.3699999999999999E-2</v>
      </c>
      <c r="B193" t="s">
        <v>353</v>
      </c>
      <c r="C193"/>
      <c r="D193"/>
      <c r="E193" t="s">
        <v>369</v>
      </c>
      <c r="F193"/>
      <c r="G193" t="s">
        <v>369</v>
      </c>
      <c r="H193" t="s">
        <v>515</v>
      </c>
      <c r="I193" t="s">
        <v>515</v>
      </c>
    </row>
    <row r="194" spans="1:9" x14ac:dyDescent="0.2">
      <c r="A194">
        <v>400.02565099999998</v>
      </c>
      <c r="B194" t="s">
        <v>342</v>
      </c>
      <c r="C194"/>
      <c r="D194"/>
      <c r="E194" t="s">
        <v>369</v>
      </c>
      <c r="F194"/>
      <c r="G194" t="s">
        <v>369</v>
      </c>
      <c r="H194" t="s">
        <v>516</v>
      </c>
      <c r="I194" t="s">
        <v>516</v>
      </c>
    </row>
    <row r="195" spans="1:9" x14ac:dyDescent="0.2">
      <c r="A195">
        <v>200</v>
      </c>
      <c r="B195" t="s">
        <v>303</v>
      </c>
      <c r="C195"/>
      <c r="D195"/>
      <c r="E195" t="s">
        <v>369</v>
      </c>
      <c r="F195"/>
      <c r="G195" t="s">
        <v>369</v>
      </c>
      <c r="H195" t="s">
        <v>517</v>
      </c>
      <c r="I195" t="s">
        <v>517</v>
      </c>
    </row>
    <row r="196" spans="1:9" x14ac:dyDescent="0.2">
      <c r="A196">
        <v>1</v>
      </c>
      <c r="B196" t="s">
        <v>264</v>
      </c>
      <c r="C196"/>
      <c r="D196"/>
      <c r="E196" t="s">
        <v>369</v>
      </c>
      <c r="F196"/>
      <c r="G196" t="s">
        <v>369</v>
      </c>
      <c r="H196" t="s">
        <v>369</v>
      </c>
      <c r="I196" t="s">
        <v>369</v>
      </c>
    </row>
    <row r="197" spans="1:9" x14ac:dyDescent="0.2">
      <c r="A197">
        <v>162324.47</v>
      </c>
      <c r="B197" t="s">
        <v>222</v>
      </c>
      <c r="C197"/>
      <c r="D197"/>
      <c r="E197" t="s">
        <v>369</v>
      </c>
      <c r="F197"/>
      <c r="G197" t="s">
        <v>369</v>
      </c>
      <c r="H197" t="s">
        <v>518</v>
      </c>
      <c r="I197" t="s">
        <v>518</v>
      </c>
    </row>
    <row r="198" spans="1:9" x14ac:dyDescent="0.2">
      <c r="A198">
        <v>449111.47652093001</v>
      </c>
      <c r="B198" t="s">
        <v>255</v>
      </c>
      <c r="C198"/>
      <c r="D198"/>
      <c r="E198" t="s">
        <v>369</v>
      </c>
      <c r="F198"/>
      <c r="G198" t="s">
        <v>369</v>
      </c>
      <c r="H198" t="s">
        <v>519</v>
      </c>
      <c r="I198" t="s">
        <v>519</v>
      </c>
    </row>
    <row r="199" spans="1:9" x14ac:dyDescent="0.2">
      <c r="A199">
        <v>136012.33095957001</v>
      </c>
      <c r="B199" t="s">
        <v>157</v>
      </c>
      <c r="C199"/>
      <c r="D199"/>
      <c r="E199" t="s">
        <v>369</v>
      </c>
      <c r="F199"/>
      <c r="G199" t="s">
        <v>369</v>
      </c>
      <c r="H199" t="s">
        <v>520</v>
      </c>
      <c r="I199" t="s">
        <v>520</v>
      </c>
    </row>
    <row r="200" spans="1:9" x14ac:dyDescent="0.2">
      <c r="A200">
        <v>588235</v>
      </c>
      <c r="B200" t="s">
        <v>170</v>
      </c>
      <c r="C200"/>
      <c r="D200"/>
      <c r="E200" t="s">
        <v>369</v>
      </c>
      <c r="F200"/>
      <c r="G200" t="s">
        <v>369</v>
      </c>
      <c r="H200" t="s">
        <v>369</v>
      </c>
      <c r="I200" t="s">
        <v>369</v>
      </c>
    </row>
    <row r="201" spans="1:9" x14ac:dyDescent="0.2">
      <c r="A201">
        <v>4400</v>
      </c>
      <c r="B201" t="s">
        <v>197</v>
      </c>
      <c r="C201"/>
      <c r="D201"/>
      <c r="E201" t="s">
        <v>369</v>
      </c>
      <c r="F201"/>
      <c r="G201" t="s">
        <v>369</v>
      </c>
      <c r="H201" t="s">
        <v>369</v>
      </c>
      <c r="I201" t="s">
        <v>369</v>
      </c>
    </row>
    <row r="202" spans="1:9" x14ac:dyDescent="0.2">
      <c r="A202">
        <v>83080.000002639994</v>
      </c>
      <c r="B202" t="s">
        <v>154</v>
      </c>
      <c r="C202"/>
      <c r="D202"/>
      <c r="E202" t="s">
        <v>369</v>
      </c>
      <c r="F202"/>
      <c r="G202" t="s">
        <v>369</v>
      </c>
      <c r="H202" t="s">
        <v>521</v>
      </c>
      <c r="I202" t="s">
        <v>521</v>
      </c>
    </row>
    <row r="203" spans="1:9" x14ac:dyDescent="0.2">
      <c r="A203">
        <v>106.31479989</v>
      </c>
      <c r="B203" t="s">
        <v>225</v>
      </c>
      <c r="C203"/>
      <c r="D203"/>
      <c r="E203" t="s">
        <v>369</v>
      </c>
      <c r="F203"/>
      <c r="G203" t="s">
        <v>369</v>
      </c>
      <c r="H203" t="s">
        <v>522</v>
      </c>
      <c r="I203" t="s">
        <v>522</v>
      </c>
    </row>
    <row r="204" spans="1:9" x14ac:dyDescent="0.2">
      <c r="A204">
        <v>4.0000000000000003E-5</v>
      </c>
      <c r="B204" t="s">
        <v>180</v>
      </c>
      <c r="C204"/>
      <c r="D204"/>
      <c r="E204" t="s">
        <v>369</v>
      </c>
      <c r="F204"/>
      <c r="G204" t="s">
        <v>369</v>
      </c>
      <c r="H204" t="s">
        <v>369</v>
      </c>
      <c r="I204" t="s">
        <v>369</v>
      </c>
    </row>
    <row r="205" spans="1:9" x14ac:dyDescent="0.2">
      <c r="A205">
        <v>500000</v>
      </c>
      <c r="B205" t="s">
        <v>271</v>
      </c>
      <c r="C205"/>
      <c r="D205"/>
      <c r="E205" t="s">
        <v>369</v>
      </c>
      <c r="F205"/>
      <c r="G205" t="s">
        <v>369</v>
      </c>
      <c r="H205" t="s">
        <v>523</v>
      </c>
      <c r="I205" t="s">
        <v>523</v>
      </c>
    </row>
    <row r="206" spans="1:9" x14ac:dyDescent="0.2">
      <c r="A206">
        <v>620.12650314999996</v>
      </c>
      <c r="B206" t="s">
        <v>236</v>
      </c>
      <c r="C206"/>
      <c r="D206"/>
      <c r="E206" t="s">
        <v>369</v>
      </c>
      <c r="F206"/>
      <c r="G206" t="s">
        <v>369</v>
      </c>
      <c r="H206" t="s">
        <v>369</v>
      </c>
      <c r="I206" t="s">
        <v>369</v>
      </c>
    </row>
    <row r="207" spans="1:9" x14ac:dyDescent="0.2">
      <c r="A207">
        <v>21911.251925550001</v>
      </c>
      <c r="B207" t="s">
        <v>182</v>
      </c>
      <c r="C207"/>
      <c r="D207"/>
      <c r="E207" t="s">
        <v>369</v>
      </c>
      <c r="F207"/>
      <c r="G207" t="s">
        <v>369</v>
      </c>
      <c r="H207" t="s">
        <v>524</v>
      </c>
      <c r="I207" t="s">
        <v>524</v>
      </c>
    </row>
    <row r="208" spans="1:9" x14ac:dyDescent="0.2">
      <c r="A208">
        <v>750000</v>
      </c>
      <c r="B208" t="s">
        <v>169</v>
      </c>
      <c r="C208"/>
      <c r="D208"/>
      <c r="E208" t="s">
        <v>369</v>
      </c>
      <c r="F208"/>
      <c r="G208" t="s">
        <v>369</v>
      </c>
      <c r="H208" t="s">
        <v>525</v>
      </c>
      <c r="I208" t="s">
        <v>525</v>
      </c>
    </row>
    <row r="209" spans="1:9" x14ac:dyDescent="0.2">
      <c r="A209">
        <v>1250359.59987</v>
      </c>
      <c r="B209" t="s">
        <v>277</v>
      </c>
      <c r="C209"/>
      <c r="D209"/>
      <c r="E209" t="s">
        <v>369</v>
      </c>
      <c r="F209"/>
      <c r="G209" t="s">
        <v>369</v>
      </c>
      <c r="H209" t="s">
        <v>526</v>
      </c>
      <c r="I209" t="s">
        <v>526</v>
      </c>
    </row>
    <row r="210" spans="1:9" x14ac:dyDescent="0.2">
      <c r="A210">
        <v>1.8372000000000001E-4</v>
      </c>
      <c r="B210" t="s">
        <v>286</v>
      </c>
      <c r="C210"/>
      <c r="D210"/>
      <c r="E210" t="s">
        <v>369</v>
      </c>
      <c r="F210"/>
      <c r="G210" t="s">
        <v>369</v>
      </c>
      <c r="H210" t="s">
        <v>488</v>
      </c>
      <c r="I210" t="s">
        <v>488</v>
      </c>
    </row>
    <row r="211" spans="1:9" x14ac:dyDescent="0.2">
      <c r="A211">
        <v>100000</v>
      </c>
      <c r="B211" t="s">
        <v>363</v>
      </c>
      <c r="C211"/>
      <c r="D211"/>
      <c r="E211" t="s">
        <v>369</v>
      </c>
      <c r="F211"/>
      <c r="G211" t="s">
        <v>369</v>
      </c>
      <c r="H211" t="s">
        <v>527</v>
      </c>
      <c r="I211" t="s">
        <v>527</v>
      </c>
    </row>
    <row r="212" spans="1:9" x14ac:dyDescent="0.2">
      <c r="A212">
        <v>41.000019999999999</v>
      </c>
      <c r="B212" t="s">
        <v>293</v>
      </c>
      <c r="C212"/>
      <c r="D212"/>
      <c r="E212" t="s">
        <v>369</v>
      </c>
      <c r="F212"/>
      <c r="G212" t="s">
        <v>369</v>
      </c>
      <c r="H212" t="s">
        <v>528</v>
      </c>
      <c r="I212" t="s">
        <v>528</v>
      </c>
    </row>
    <row r="213" spans="1:9" x14ac:dyDescent="0.2">
      <c r="A213">
        <v>1668.2</v>
      </c>
      <c r="B213" t="s">
        <v>267</v>
      </c>
      <c r="C213"/>
      <c r="D213"/>
      <c r="E213" t="s">
        <v>369</v>
      </c>
      <c r="F213"/>
      <c r="G213" t="s">
        <v>369</v>
      </c>
      <c r="H213" t="s">
        <v>529</v>
      </c>
      <c r="I213" t="s">
        <v>529</v>
      </c>
    </row>
    <row r="214" spans="1:9" x14ac:dyDescent="0.2">
      <c r="A214">
        <v>358650</v>
      </c>
      <c r="B214" t="s">
        <v>162</v>
      </c>
      <c r="C214"/>
      <c r="D214"/>
      <c r="E214" t="s">
        <v>369</v>
      </c>
      <c r="F214"/>
      <c r="G214" t="s">
        <v>369</v>
      </c>
      <c r="H214" t="s">
        <v>530</v>
      </c>
      <c r="I214" t="s">
        <v>530</v>
      </c>
    </row>
    <row r="215" spans="1:9" x14ac:dyDescent="0.2">
      <c r="A215">
        <v>4.87E-6</v>
      </c>
      <c r="B215" t="s">
        <v>309</v>
      </c>
      <c r="C215"/>
      <c r="D215"/>
      <c r="E215" t="s">
        <v>369</v>
      </c>
      <c r="F215"/>
      <c r="G215" t="s">
        <v>369</v>
      </c>
      <c r="H215" t="s">
        <v>369</v>
      </c>
      <c r="I215" t="s">
        <v>369</v>
      </c>
    </row>
    <row r="216" spans="1:9" x14ac:dyDescent="0.2">
      <c r="A216">
        <v>1.78</v>
      </c>
      <c r="B216" t="s">
        <v>307</v>
      </c>
      <c r="C216"/>
      <c r="D216"/>
      <c r="E216" t="s">
        <v>369</v>
      </c>
      <c r="F216"/>
      <c r="G216" t="s">
        <v>369</v>
      </c>
      <c r="H216" t="s">
        <v>531</v>
      </c>
      <c r="I216" t="s">
        <v>531</v>
      </c>
    </row>
    <row r="217" spans="1:9" x14ac:dyDescent="0.2">
      <c r="A217">
        <v>762.60837321999998</v>
      </c>
      <c r="B217" t="s">
        <v>291</v>
      </c>
      <c r="C217"/>
      <c r="D217"/>
      <c r="E217" t="s">
        <v>369</v>
      </c>
      <c r="F217"/>
      <c r="G217" t="s">
        <v>369</v>
      </c>
      <c r="H217" t="s">
        <v>532</v>
      </c>
      <c r="I217" t="s">
        <v>532</v>
      </c>
    </row>
    <row r="218" spans="1:9" x14ac:dyDescent="0.2">
      <c r="A218">
        <v>7.9699999999999999E-5</v>
      </c>
      <c r="B218" t="s">
        <v>131</v>
      </c>
      <c r="C218"/>
      <c r="D218"/>
      <c r="E218" t="s">
        <v>369</v>
      </c>
      <c r="F218"/>
      <c r="G218" t="s">
        <v>369</v>
      </c>
      <c r="H218" t="s">
        <v>505</v>
      </c>
      <c r="I218" t="s">
        <v>505</v>
      </c>
    </row>
    <row r="219" spans="1:9" x14ac:dyDescent="0.2">
      <c r="A219">
        <v>16400.00004309</v>
      </c>
      <c r="B219" t="s">
        <v>123</v>
      </c>
      <c r="C219"/>
      <c r="D219"/>
      <c r="E219" t="s">
        <v>369</v>
      </c>
      <c r="F219"/>
      <c r="G219" t="s">
        <v>369</v>
      </c>
      <c r="H219" t="s">
        <v>533</v>
      </c>
      <c r="I219" t="s">
        <v>533</v>
      </c>
    </row>
  </sheetData>
  <pageMargins left="0.7" right="0.7" top="0.75" bottom="0.75" header="0.3" footer="0.3"/>
  <pageSetup paperSize="9" scale="77" fitToHeight="100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27FEB-D92A-6A45-8D79-4223A72A1DF2}">
  <sheetPr codeName="Tabelle8">
    <pageSetUpPr fitToPage="1"/>
  </sheetPr>
  <dimension ref="A1:M66"/>
  <sheetViews>
    <sheetView view="pageBreakPreview" zoomScaleNormal="102" zoomScaleSheetLayoutView="100" workbookViewId="0"/>
  </sheetViews>
  <sheetFormatPr baseColWidth="10" defaultRowHeight="15" x14ac:dyDescent="0.2"/>
  <cols>
    <col min="1" max="1" width="25" style="40" bestFit="1" customWidth="1"/>
    <col min="3" max="3" width="14.5" customWidth="1"/>
    <col min="4" max="4" width="14.83203125" customWidth="1"/>
    <col min="5" max="5" width="3.83203125" customWidth="1"/>
    <col min="6" max="6" width="16.33203125" customWidth="1"/>
    <col min="7" max="7" width="19" customWidth="1"/>
    <col min="8" max="8" width="11.5" bestFit="1" customWidth="1"/>
    <col min="9" max="9" width="17.5" style="37" customWidth="1"/>
    <col min="10" max="10" width="12.33203125" style="37" customWidth="1"/>
    <col min="11" max="11" width="14.5" style="37" customWidth="1"/>
  </cols>
  <sheetData>
    <row r="1" spans="1:13" ht="29" x14ac:dyDescent="0.35">
      <c r="A1" s="38" t="s">
        <v>19</v>
      </c>
    </row>
    <row r="2" spans="1:13" x14ac:dyDescent="0.2">
      <c r="A2" s="39" t="s">
        <v>20</v>
      </c>
    </row>
    <row r="3" spans="1:13" x14ac:dyDescent="0.2">
      <c r="A3" s="39"/>
    </row>
    <row r="4" spans="1:13" x14ac:dyDescent="0.2">
      <c r="A4" s="39"/>
    </row>
    <row r="5" spans="1:13" ht="29" x14ac:dyDescent="0.35">
      <c r="A5" s="38">
        <f>Zusammenfassung!A4</f>
        <v>2021</v>
      </c>
      <c r="M5" s="4" t="s">
        <v>61</v>
      </c>
    </row>
    <row r="6" spans="1:13" x14ac:dyDescent="0.2">
      <c r="I6" s="33"/>
      <c r="J6" s="33"/>
      <c r="K6" s="35"/>
      <c r="M6" s="4" t="s">
        <v>62</v>
      </c>
    </row>
    <row r="7" spans="1:13" x14ac:dyDescent="0.2">
      <c r="A7" s="40" t="s">
        <v>3</v>
      </c>
      <c r="B7" t="s">
        <v>4</v>
      </c>
      <c r="C7" t="s">
        <v>5</v>
      </c>
      <c r="D7" t="s">
        <v>10</v>
      </c>
      <c r="E7" t="s">
        <v>79</v>
      </c>
      <c r="F7" t="s">
        <v>13</v>
      </c>
      <c r="G7" t="s">
        <v>14</v>
      </c>
      <c r="H7" t="s">
        <v>0</v>
      </c>
      <c r="I7" s="33" t="s">
        <v>7</v>
      </c>
      <c r="J7" s="33" t="s">
        <v>11</v>
      </c>
      <c r="K7" s="35" t="s">
        <v>15</v>
      </c>
      <c r="M7" s="4" t="s">
        <v>63</v>
      </c>
    </row>
    <row r="8" spans="1:13" ht="17" thickBot="1" x14ac:dyDescent="0.25">
      <c r="A8" s="30"/>
      <c r="C8" s="29"/>
      <c r="D8" s="5"/>
      <c r="E8" s="5"/>
      <c r="H8" s="13"/>
      <c r="I8" s="34"/>
      <c r="J8" s="34"/>
      <c r="K8" s="34"/>
    </row>
    <row r="9" spans="1:13" ht="16" thickTop="1" x14ac:dyDescent="0.2">
      <c r="A9" s="71"/>
      <c r="B9" s="72"/>
      <c r="C9" s="73"/>
      <c r="D9" s="73"/>
      <c r="E9" s="73"/>
      <c r="F9" s="72"/>
      <c r="G9" s="72"/>
      <c r="H9" s="72"/>
      <c r="I9" s="74"/>
      <c r="J9" s="74"/>
      <c r="K9" s="74"/>
      <c r="M9" t="s">
        <v>80</v>
      </c>
    </row>
    <row r="10" spans="1:13" x14ac:dyDescent="0.2">
      <c r="A10" s="4" t="s">
        <v>38</v>
      </c>
      <c r="B10" s="4"/>
      <c r="C10" s="75"/>
      <c r="D10" s="75"/>
      <c r="E10" s="75"/>
      <c r="F10" s="4"/>
      <c r="G10" s="4"/>
      <c r="H10" s="4"/>
      <c r="I10" s="76">
        <v>0</v>
      </c>
      <c r="J10" s="76">
        <v>0</v>
      </c>
      <c r="K10" s="77">
        <f>J10</f>
        <v>0</v>
      </c>
      <c r="L10" s="4"/>
    </row>
    <row r="11" spans="1:13" x14ac:dyDescent="0.2">
      <c r="A11" s="4" t="s">
        <v>39</v>
      </c>
      <c r="B11" s="4"/>
      <c r="C11" s="75"/>
      <c r="D11" s="75"/>
      <c r="E11" s="75"/>
      <c r="F11" s="4"/>
      <c r="G11" s="4"/>
      <c r="H11" s="4"/>
      <c r="I11" s="78">
        <v>0</v>
      </c>
      <c r="J11" s="78">
        <v>0</v>
      </c>
      <c r="K11" s="78">
        <f>I11</f>
        <v>0</v>
      </c>
      <c r="L11" s="4"/>
    </row>
    <row r="12" spans="1:13" x14ac:dyDescent="0.2">
      <c r="A12" s="4" t="s">
        <v>81</v>
      </c>
      <c r="B12" s="4"/>
      <c r="C12" s="75"/>
      <c r="D12" s="75"/>
      <c r="E12" s="75"/>
      <c r="F12" s="4"/>
      <c r="G12" s="4"/>
      <c r="H12" s="4"/>
      <c r="I12" s="78"/>
      <c r="J12" s="78"/>
      <c r="K12" s="78">
        <v>0</v>
      </c>
    </row>
    <row r="13" spans="1:13" ht="16" x14ac:dyDescent="0.2">
      <c r="A13" s="30" t="s">
        <v>82</v>
      </c>
      <c r="C13" s="29"/>
      <c r="D13" s="5"/>
      <c r="E13" s="5"/>
      <c r="H13" s="13"/>
      <c r="I13" s="34"/>
      <c r="J13" s="34"/>
      <c r="K13" s="78">
        <v>0</v>
      </c>
      <c r="L13" t="s">
        <v>84</v>
      </c>
    </row>
    <row r="14" spans="1:13" ht="16" x14ac:dyDescent="0.2">
      <c r="A14" s="30" t="s">
        <v>83</v>
      </c>
      <c r="C14" s="29"/>
      <c r="D14" s="5"/>
      <c r="E14" s="5"/>
      <c r="H14" s="13"/>
      <c r="I14" s="34"/>
      <c r="J14" s="34"/>
      <c r="K14" s="48">
        <f>K10-K13</f>
        <v>0</v>
      </c>
    </row>
    <row r="15" spans="1:13" ht="16" x14ac:dyDescent="0.2">
      <c r="A15" s="30"/>
      <c r="C15" s="29"/>
      <c r="D15" s="5"/>
      <c r="E15" s="5"/>
      <c r="H15" s="13"/>
      <c r="I15" s="34"/>
      <c r="J15" s="34"/>
      <c r="K15" s="34"/>
    </row>
    <row r="16" spans="1:13" ht="16" x14ac:dyDescent="0.2">
      <c r="A16" s="30"/>
      <c r="C16" s="29"/>
      <c r="D16" s="5"/>
      <c r="E16" s="5"/>
      <c r="H16" s="13"/>
      <c r="I16" s="34"/>
      <c r="J16" s="34"/>
      <c r="K16" s="34"/>
    </row>
    <row r="17" spans="1:11" ht="16" x14ac:dyDescent="0.2">
      <c r="A17" s="30"/>
      <c r="C17" s="29"/>
      <c r="D17" s="5"/>
      <c r="E17" s="5"/>
      <c r="H17" s="13"/>
      <c r="I17" s="34"/>
      <c r="J17" s="34"/>
      <c r="K17" s="34"/>
    </row>
    <row r="18" spans="1:11" ht="16" x14ac:dyDescent="0.2">
      <c r="A18" s="30"/>
      <c r="C18" s="29"/>
      <c r="D18" s="5"/>
      <c r="E18" s="5"/>
      <c r="H18" s="13"/>
      <c r="I18" s="34"/>
      <c r="J18" s="34"/>
      <c r="K18" s="34"/>
    </row>
    <row r="19" spans="1:11" ht="16" x14ac:dyDescent="0.2">
      <c r="A19" s="30"/>
      <c r="C19" s="29"/>
      <c r="D19" s="5"/>
      <c r="E19" s="5"/>
      <c r="H19" s="13"/>
      <c r="I19" s="34"/>
      <c r="J19" s="34"/>
      <c r="K19" s="34"/>
    </row>
    <row r="20" spans="1:11" ht="16" x14ac:dyDescent="0.2">
      <c r="A20" s="30"/>
      <c r="C20" s="29"/>
      <c r="D20" s="5"/>
      <c r="E20" s="5"/>
      <c r="H20" s="13"/>
      <c r="I20" s="34"/>
      <c r="J20" s="34"/>
      <c r="K20" s="34"/>
    </row>
    <row r="21" spans="1:11" ht="16" x14ac:dyDescent="0.2">
      <c r="A21" s="30"/>
      <c r="C21" s="29"/>
      <c r="D21" s="5"/>
      <c r="E21" s="5"/>
      <c r="H21" s="13"/>
      <c r="I21" s="34"/>
      <c r="J21" s="34"/>
      <c r="K21" s="34"/>
    </row>
    <row r="22" spans="1:11" ht="16" x14ac:dyDescent="0.2">
      <c r="A22" s="30"/>
      <c r="C22" s="29"/>
      <c r="D22" s="5"/>
      <c r="E22" s="5"/>
      <c r="H22" s="13"/>
      <c r="I22" s="34"/>
      <c r="J22" s="34"/>
      <c r="K22" s="34"/>
    </row>
    <row r="23" spans="1:11" ht="16" x14ac:dyDescent="0.2">
      <c r="A23" s="30"/>
      <c r="C23" s="29"/>
      <c r="D23" s="5"/>
      <c r="E23" s="5"/>
      <c r="H23" s="13"/>
      <c r="I23" s="34"/>
      <c r="J23" s="34"/>
      <c r="K23" s="34"/>
    </row>
    <row r="24" spans="1:11" ht="16" x14ac:dyDescent="0.2">
      <c r="A24" s="30"/>
      <c r="C24" s="29"/>
      <c r="D24" s="5"/>
      <c r="E24" s="5"/>
      <c r="H24" s="13"/>
      <c r="I24" s="34"/>
      <c r="J24" s="34"/>
      <c r="K24" s="34"/>
    </row>
    <row r="25" spans="1:11" ht="16" x14ac:dyDescent="0.2">
      <c r="A25" s="30"/>
      <c r="C25" s="29"/>
      <c r="D25" s="5"/>
      <c r="E25" s="5"/>
      <c r="H25" s="13"/>
      <c r="I25" s="34"/>
      <c r="J25" s="34"/>
      <c r="K25" s="34"/>
    </row>
    <row r="26" spans="1:11" ht="16" x14ac:dyDescent="0.2">
      <c r="A26" s="30"/>
      <c r="C26" s="29"/>
      <c r="D26" s="5"/>
      <c r="E26" s="5"/>
      <c r="H26" s="13"/>
      <c r="I26" s="34"/>
      <c r="J26" s="34"/>
      <c r="K26" s="34"/>
    </row>
    <row r="27" spans="1:11" ht="16" x14ac:dyDescent="0.2">
      <c r="A27" s="30"/>
      <c r="C27" s="29"/>
      <c r="D27" s="5"/>
      <c r="E27" s="5"/>
      <c r="H27" s="13"/>
      <c r="I27" s="34"/>
      <c r="J27" s="34"/>
      <c r="K27" s="34"/>
    </row>
    <row r="28" spans="1:11" ht="16" x14ac:dyDescent="0.2">
      <c r="A28" s="30"/>
      <c r="C28" s="29"/>
      <c r="D28" s="5"/>
      <c r="E28" s="5"/>
      <c r="H28" s="13"/>
      <c r="I28" s="34"/>
      <c r="J28" s="34"/>
      <c r="K28" s="34"/>
    </row>
    <row r="29" spans="1:11" ht="16" x14ac:dyDescent="0.2">
      <c r="A29" s="30"/>
      <c r="C29" s="29"/>
      <c r="D29" s="5"/>
      <c r="E29" s="5"/>
      <c r="H29" s="13"/>
      <c r="I29" s="34"/>
      <c r="J29" s="34"/>
      <c r="K29" s="34"/>
    </row>
    <row r="30" spans="1:11" ht="16" x14ac:dyDescent="0.2">
      <c r="A30" s="30"/>
      <c r="C30" s="29"/>
      <c r="D30" s="5"/>
      <c r="E30" s="5"/>
      <c r="H30" s="13"/>
      <c r="I30" s="34"/>
      <c r="J30" s="34"/>
      <c r="K30" s="34"/>
    </row>
    <row r="31" spans="1:11" ht="16" x14ac:dyDescent="0.2">
      <c r="A31" s="30"/>
      <c r="C31" s="29"/>
      <c r="D31" s="5"/>
      <c r="E31" s="5"/>
      <c r="H31" s="13"/>
      <c r="I31" s="34"/>
      <c r="J31" s="34"/>
      <c r="K31" s="34"/>
    </row>
    <row r="32" spans="1:11" ht="16" x14ac:dyDescent="0.2">
      <c r="A32" s="30"/>
      <c r="C32" s="29"/>
      <c r="D32" s="5"/>
      <c r="E32" s="5"/>
      <c r="H32" s="13"/>
      <c r="I32" s="34"/>
      <c r="J32" s="34"/>
      <c r="K32" s="34"/>
    </row>
    <row r="33" spans="1:11" ht="16" x14ac:dyDescent="0.2">
      <c r="A33" s="30"/>
      <c r="C33" s="29"/>
      <c r="D33" s="5"/>
      <c r="E33" s="5"/>
      <c r="H33" s="13"/>
      <c r="I33" s="34"/>
      <c r="J33" s="34"/>
      <c r="K33" s="34"/>
    </row>
    <row r="34" spans="1:11" ht="16" x14ac:dyDescent="0.2">
      <c r="A34" s="30"/>
      <c r="C34" s="29"/>
      <c r="D34" s="5"/>
      <c r="E34" s="5"/>
      <c r="H34" s="13"/>
      <c r="I34" s="34"/>
      <c r="J34" s="34"/>
      <c r="K34" s="34"/>
    </row>
    <row r="35" spans="1:11" ht="16" x14ac:dyDescent="0.2">
      <c r="A35" s="30"/>
      <c r="C35" s="29"/>
      <c r="D35" s="5"/>
      <c r="E35" s="5"/>
      <c r="H35" s="13"/>
      <c r="I35" s="34"/>
      <c r="J35" s="34"/>
      <c r="K35" s="34"/>
    </row>
    <row r="36" spans="1:11" ht="16" x14ac:dyDescent="0.2">
      <c r="A36" s="30"/>
      <c r="C36" s="29"/>
      <c r="D36" s="5"/>
      <c r="E36" s="5"/>
      <c r="H36" s="13"/>
      <c r="I36" s="34"/>
      <c r="J36" s="34"/>
      <c r="K36" s="34"/>
    </row>
    <row r="37" spans="1:11" ht="16" x14ac:dyDescent="0.2">
      <c r="A37" s="30"/>
      <c r="C37" s="29"/>
      <c r="D37" s="5"/>
      <c r="E37" s="5"/>
      <c r="H37" s="13"/>
      <c r="I37" s="34"/>
      <c r="J37" s="34"/>
      <c r="K37" s="34"/>
    </row>
    <row r="38" spans="1:11" ht="16" x14ac:dyDescent="0.2">
      <c r="A38" s="30"/>
      <c r="C38" s="29"/>
      <c r="D38" s="5"/>
      <c r="E38" s="5"/>
      <c r="H38" s="13"/>
      <c r="I38" s="34"/>
      <c r="J38" s="34"/>
      <c r="K38" s="34"/>
    </row>
    <row r="39" spans="1:11" ht="16" x14ac:dyDescent="0.2">
      <c r="A39" s="30"/>
      <c r="C39" s="29"/>
      <c r="D39" s="5"/>
      <c r="E39" s="5"/>
      <c r="H39" s="13"/>
      <c r="I39" s="34"/>
      <c r="J39" s="34"/>
      <c r="K39" s="34"/>
    </row>
    <row r="40" spans="1:11" ht="16" x14ac:dyDescent="0.2">
      <c r="A40" s="30"/>
      <c r="C40" s="29"/>
      <c r="D40" s="5"/>
      <c r="E40" s="5"/>
      <c r="H40" s="13"/>
      <c r="I40" s="34"/>
      <c r="J40" s="34"/>
      <c r="K40" s="34"/>
    </row>
    <row r="41" spans="1:11" ht="16" x14ac:dyDescent="0.2">
      <c r="A41" s="30"/>
      <c r="C41" s="29"/>
      <c r="D41" s="5"/>
      <c r="E41" s="5"/>
      <c r="H41" s="13"/>
      <c r="I41" s="34"/>
      <c r="J41" s="34"/>
      <c r="K41" s="34"/>
    </row>
    <row r="42" spans="1:11" ht="16" x14ac:dyDescent="0.2">
      <c r="A42" s="30"/>
      <c r="C42" s="29"/>
      <c r="D42" s="5"/>
      <c r="E42" s="5"/>
      <c r="H42" s="13"/>
      <c r="I42" s="34"/>
      <c r="J42" s="34"/>
      <c r="K42" s="34"/>
    </row>
    <row r="43" spans="1:11" ht="16" x14ac:dyDescent="0.2">
      <c r="A43" s="30"/>
      <c r="C43" s="29"/>
      <c r="D43" s="5"/>
      <c r="E43" s="5"/>
      <c r="H43" s="13"/>
      <c r="I43" s="34"/>
      <c r="J43" s="34"/>
      <c r="K43" s="34"/>
    </row>
    <row r="44" spans="1:11" ht="16" x14ac:dyDescent="0.2">
      <c r="A44" s="30"/>
      <c r="C44" s="29"/>
      <c r="D44" s="5"/>
      <c r="E44" s="5"/>
      <c r="H44" s="13"/>
      <c r="I44" s="34"/>
      <c r="J44" s="34"/>
      <c r="K44" s="34"/>
    </row>
    <row r="45" spans="1:11" ht="16" x14ac:dyDescent="0.2">
      <c r="A45" s="30"/>
      <c r="C45" s="29"/>
      <c r="D45" s="5"/>
      <c r="E45" s="5"/>
      <c r="H45" s="13"/>
      <c r="I45" s="34"/>
      <c r="J45" s="34"/>
      <c r="K45" s="34"/>
    </row>
    <row r="46" spans="1:11" ht="16" x14ac:dyDescent="0.2">
      <c r="A46" s="30"/>
      <c r="C46" s="29"/>
      <c r="D46" s="5"/>
      <c r="E46" s="5"/>
      <c r="H46" s="13"/>
      <c r="I46" s="34"/>
      <c r="J46" s="34"/>
      <c r="K46" s="34"/>
    </row>
    <row r="47" spans="1:11" ht="16" x14ac:dyDescent="0.2">
      <c r="A47" s="30"/>
      <c r="C47" s="29"/>
      <c r="D47" s="5"/>
      <c r="E47" s="5"/>
      <c r="H47" s="13"/>
      <c r="I47" s="34"/>
      <c r="J47" s="34"/>
      <c r="K47" s="34"/>
    </row>
    <row r="48" spans="1:11" ht="16" x14ac:dyDescent="0.2">
      <c r="A48" s="30"/>
      <c r="C48" s="29"/>
      <c r="D48" s="5"/>
      <c r="E48" s="5"/>
      <c r="H48" s="13"/>
      <c r="I48" s="34"/>
      <c r="J48" s="34"/>
      <c r="K48" s="34"/>
    </row>
    <row r="49" spans="1:11" ht="16" x14ac:dyDescent="0.2">
      <c r="A49" s="30"/>
      <c r="C49" s="29"/>
      <c r="D49" s="5"/>
      <c r="E49" s="5"/>
      <c r="H49" s="13"/>
      <c r="I49" s="34"/>
      <c r="J49" s="34"/>
      <c r="K49" s="34"/>
    </row>
    <row r="50" spans="1:11" ht="16" x14ac:dyDescent="0.2">
      <c r="A50" s="30"/>
      <c r="C50" s="29"/>
      <c r="D50" s="5"/>
      <c r="E50" s="5"/>
      <c r="H50" s="13"/>
      <c r="I50" s="34"/>
      <c r="J50" s="34"/>
      <c r="K50" s="34"/>
    </row>
    <row r="51" spans="1:11" ht="16" x14ac:dyDescent="0.2">
      <c r="A51" s="30"/>
      <c r="C51" s="29"/>
      <c r="D51" s="5"/>
      <c r="E51" s="5"/>
      <c r="H51" s="13"/>
      <c r="I51" s="34"/>
      <c r="J51" s="34"/>
      <c r="K51" s="34"/>
    </row>
    <row r="52" spans="1:11" ht="16" x14ac:dyDescent="0.2">
      <c r="A52" s="30"/>
      <c r="C52" s="29"/>
      <c r="D52" s="5"/>
      <c r="E52" s="5"/>
      <c r="H52" s="13"/>
      <c r="I52" s="34"/>
      <c r="J52" s="34"/>
      <c r="K52" s="34"/>
    </row>
    <row r="53" spans="1:11" ht="16" x14ac:dyDescent="0.2">
      <c r="A53" s="30"/>
      <c r="C53" s="29"/>
      <c r="D53" s="5"/>
      <c r="E53" s="5"/>
      <c r="H53" s="13"/>
      <c r="I53" s="34"/>
      <c r="J53" s="34"/>
      <c r="K53" s="34"/>
    </row>
    <row r="54" spans="1:11" ht="16" x14ac:dyDescent="0.2">
      <c r="A54" s="30"/>
      <c r="C54" s="29"/>
      <c r="D54" s="5"/>
      <c r="E54" s="5"/>
      <c r="H54" s="13"/>
      <c r="I54" s="34"/>
      <c r="J54" s="34"/>
      <c r="K54" s="34"/>
    </row>
    <row r="55" spans="1:11" ht="16" x14ac:dyDescent="0.2">
      <c r="A55" s="30"/>
      <c r="C55" s="29"/>
      <c r="D55" s="5"/>
      <c r="E55" s="5"/>
      <c r="H55" s="13"/>
      <c r="I55" s="34"/>
      <c r="J55" s="34"/>
      <c r="K55" s="34"/>
    </row>
    <row r="56" spans="1:11" ht="16" x14ac:dyDescent="0.2">
      <c r="A56" s="30"/>
      <c r="C56" s="29"/>
      <c r="D56" s="5"/>
      <c r="E56" s="5"/>
      <c r="H56" s="13"/>
      <c r="I56" s="34"/>
      <c r="J56" s="34"/>
      <c r="K56" s="34"/>
    </row>
    <row r="57" spans="1:11" ht="16" x14ac:dyDescent="0.2">
      <c r="A57" s="30"/>
      <c r="C57" s="29"/>
      <c r="D57" s="5"/>
      <c r="E57" s="5"/>
      <c r="H57" s="13"/>
      <c r="I57" s="34"/>
      <c r="J57" s="34"/>
      <c r="K57" s="34"/>
    </row>
    <row r="58" spans="1:11" ht="16" x14ac:dyDescent="0.2">
      <c r="A58" s="30"/>
      <c r="C58" s="29"/>
      <c r="D58" s="5"/>
      <c r="E58" s="5"/>
      <c r="H58" s="13"/>
      <c r="I58" s="34"/>
      <c r="J58" s="34"/>
      <c r="K58" s="34"/>
    </row>
    <row r="59" spans="1:11" ht="16" x14ac:dyDescent="0.2">
      <c r="A59" s="30"/>
      <c r="C59" s="29"/>
      <c r="H59" s="13"/>
      <c r="I59" s="34"/>
      <c r="J59" s="34"/>
      <c r="K59" s="34"/>
    </row>
    <row r="60" spans="1:11" ht="16" x14ac:dyDescent="0.2">
      <c r="A60" s="30"/>
      <c r="C60" s="29"/>
      <c r="H60" s="13"/>
      <c r="I60" s="34"/>
      <c r="J60" s="34"/>
      <c r="K60" s="34"/>
    </row>
    <row r="61" spans="1:11" ht="16" x14ac:dyDescent="0.2">
      <c r="A61" s="30"/>
      <c r="C61" s="29"/>
      <c r="H61" s="13"/>
      <c r="I61" s="34"/>
      <c r="J61" s="34"/>
      <c r="K61" s="34"/>
    </row>
    <row r="62" spans="1:11" ht="16" x14ac:dyDescent="0.2">
      <c r="A62" s="30"/>
      <c r="C62" s="29"/>
      <c r="H62" s="13"/>
      <c r="I62" s="34"/>
      <c r="J62" s="34"/>
      <c r="K62" s="34"/>
    </row>
    <row r="63" spans="1:11" ht="16" x14ac:dyDescent="0.2">
      <c r="A63" s="30"/>
      <c r="C63" s="29"/>
      <c r="H63" s="13"/>
      <c r="I63" s="34"/>
      <c r="J63" s="34"/>
      <c r="K63" s="34"/>
    </row>
    <row r="64" spans="1:11" ht="16" x14ac:dyDescent="0.2">
      <c r="A64" s="30"/>
      <c r="C64" s="29"/>
      <c r="H64" s="13"/>
      <c r="I64" s="34"/>
      <c r="J64" s="34"/>
      <c r="K64" s="34"/>
    </row>
    <row r="65" spans="1:11" ht="16" x14ac:dyDescent="0.2">
      <c r="A65" s="30"/>
      <c r="C65" s="29"/>
      <c r="H65" s="13"/>
      <c r="I65" s="34"/>
      <c r="J65" s="34"/>
      <c r="K65" s="34"/>
    </row>
    <row r="66" spans="1:11" ht="16" x14ac:dyDescent="0.2">
      <c r="A66" s="30"/>
      <c r="C66" s="29"/>
      <c r="H66" s="13"/>
      <c r="I66" s="34"/>
      <c r="J66" s="34"/>
      <c r="K66" s="34"/>
    </row>
  </sheetData>
  <pageMargins left="0.7" right="0.7" top="0.75" bottom="0.75" header="0.3" footer="0.3"/>
  <pageSetup paperSize="9" scale="51" fitToHeight="100" orientation="portrait" horizontalDpi="0" verticalDpi="0"/>
  <headerFooter>
    <oddFooter>&amp;C&amp;K000000Anhang Seite &amp;P von &amp;N</oddFooter>
  </headerFooter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1441A-075F-2E4B-B08F-EA1DE2AD3721}">
  <sheetPr codeName="Tabelle9">
    <tabColor rgb="FF92D050"/>
    <pageSetUpPr fitToPage="1"/>
  </sheetPr>
  <dimension ref="A1:L8"/>
  <sheetViews>
    <sheetView view="pageBreakPreview" zoomScale="90" zoomScaleNormal="100" zoomScaleSheetLayoutView="90" workbookViewId="0">
      <selection activeCell="A13" sqref="A13"/>
    </sheetView>
  </sheetViews>
  <sheetFormatPr baseColWidth="10" defaultRowHeight="15" x14ac:dyDescent="0.2"/>
  <cols>
    <col min="1" max="1" width="13.6640625" customWidth="1"/>
    <col min="2" max="2" width="18" customWidth="1"/>
    <col min="4" max="4" width="15.33203125" customWidth="1"/>
    <col min="5" max="5" width="23" bestFit="1" customWidth="1"/>
    <col min="6" max="6" width="11.1640625" bestFit="1" customWidth="1"/>
    <col min="7" max="7" width="15" customWidth="1"/>
    <col min="8" max="8" width="20.5" bestFit="1" customWidth="1"/>
    <col min="9" max="9" width="43.33203125" bestFit="1" customWidth="1"/>
    <col min="10" max="10" width="27.33203125" bestFit="1" customWidth="1"/>
    <col min="11" max="11" width="16" customWidth="1"/>
  </cols>
  <sheetData>
    <row r="1" spans="1:12" ht="29" x14ac:dyDescent="0.35">
      <c r="A1" s="3" t="s">
        <v>18</v>
      </c>
      <c r="B1" s="3"/>
      <c r="C1" s="3"/>
      <c r="D1" s="3"/>
      <c r="E1" s="4"/>
      <c r="F1" s="4"/>
      <c r="G1" s="41"/>
      <c r="H1" s="4"/>
      <c r="I1" s="4"/>
      <c r="J1" s="4"/>
    </row>
    <row r="2" spans="1:12" x14ac:dyDescent="0.2">
      <c r="A2" s="8" t="s">
        <v>21</v>
      </c>
      <c r="B2" s="8"/>
      <c r="C2" s="8"/>
      <c r="D2" s="8"/>
      <c r="E2" s="8"/>
      <c r="F2" s="8"/>
      <c r="G2" s="41"/>
      <c r="H2" s="4"/>
      <c r="I2" s="4"/>
      <c r="J2" s="4"/>
    </row>
    <row r="3" spans="1:12" x14ac:dyDescent="0.2">
      <c r="A3" s="8" t="s">
        <v>40</v>
      </c>
      <c r="B3" s="8"/>
      <c r="C3" s="8"/>
      <c r="D3" s="8"/>
      <c r="E3" s="8"/>
      <c r="F3" s="8"/>
      <c r="G3" s="8"/>
      <c r="H3" s="8"/>
      <c r="I3" s="8"/>
      <c r="J3" s="4"/>
    </row>
    <row r="4" spans="1:12" x14ac:dyDescent="0.2">
      <c r="A4" s="8"/>
      <c r="B4" s="8"/>
      <c r="C4" s="8"/>
      <c r="D4" s="8"/>
      <c r="E4" s="8"/>
      <c r="F4" s="8"/>
      <c r="G4" s="8"/>
      <c r="H4" s="8"/>
      <c r="I4" s="8"/>
      <c r="J4" s="4"/>
    </row>
    <row r="5" spans="1:12" ht="29" x14ac:dyDescent="0.35">
      <c r="A5" s="38" t="s">
        <v>49</v>
      </c>
      <c r="B5" s="8"/>
      <c r="C5" s="8"/>
      <c r="D5" s="8"/>
      <c r="E5" s="8"/>
      <c r="F5" s="8"/>
      <c r="G5" s="8"/>
      <c r="H5" s="8"/>
      <c r="I5" s="8"/>
      <c r="J5" s="4"/>
    </row>
    <row r="6" spans="1:12" x14ac:dyDescent="0.2">
      <c r="A6" s="4"/>
      <c r="B6" s="4"/>
      <c r="C6" s="4"/>
      <c r="D6" s="41"/>
      <c r="E6" s="4"/>
      <c r="F6" s="4"/>
      <c r="G6" s="41"/>
      <c r="H6" s="4"/>
      <c r="I6" s="4"/>
      <c r="J6" s="4"/>
      <c r="L6" s="4"/>
    </row>
    <row r="7" spans="1:12" x14ac:dyDescent="0.2">
      <c r="A7" s="25" t="s">
        <v>0</v>
      </c>
      <c r="B7" s="26" t="s">
        <v>1</v>
      </c>
      <c r="C7" s="26" t="s">
        <v>4</v>
      </c>
      <c r="D7" s="27" t="s">
        <v>44</v>
      </c>
      <c r="E7" s="26" t="s">
        <v>2</v>
      </c>
      <c r="F7" s="26" t="s">
        <v>31</v>
      </c>
      <c r="G7" s="27" t="s">
        <v>45</v>
      </c>
      <c r="H7" s="28" t="s">
        <v>46</v>
      </c>
      <c r="I7" s="28" t="s">
        <v>47</v>
      </c>
      <c r="J7" s="4" t="s">
        <v>26</v>
      </c>
      <c r="K7" s="42" t="s">
        <v>48</v>
      </c>
      <c r="L7" s="4"/>
    </row>
    <row r="8" spans="1:12" x14ac:dyDescent="0.2">
      <c r="B8" s="113"/>
      <c r="D8" s="18"/>
      <c r="E8" s="113"/>
      <c r="G8" s="18"/>
    </row>
  </sheetData>
  <pageMargins left="0.7" right="0.7" top="0.78740157499999996" bottom="0.78740157499999996" header="0.3" footer="0.3"/>
  <pageSetup paperSize="9" scale="38" fitToHeight="100" orientation="portrait" horizontalDpi="0" verticalDpi="0"/>
  <headerFooter>
    <oddFooter>&amp;C&amp;K000000Anhang Seite &amp;P von &amp;N</oddFooter>
  </headerFooter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Zusammenfassung</vt:lpstr>
      <vt:lpstr>Exchange Liste</vt:lpstr>
      <vt:lpstr>Kapitalertragsbericht - Verkäuf</vt:lpstr>
      <vt:lpstr>Fehlende Anschaffungen</vt:lpstr>
      <vt:lpstr>Einkommensbericht</vt:lpstr>
      <vt:lpstr>Spenden_Schenkungen</vt:lpstr>
      <vt:lpstr>Gebühren</vt:lpstr>
      <vt:lpstr>Gestohlen_Verloren</vt:lpstr>
      <vt:lpstr>Nicht verkaufte Positionen</vt:lpstr>
      <vt:lpstr>Nicht verkaufte Datum</vt:lpstr>
      <vt:lpstr>Nicht verkaufte gruppiert</vt:lpstr>
      <vt:lpstr>Termingeschäfte</vt:lpstr>
      <vt:lpstr>Transaktionsliste</vt:lpstr>
      <vt:lpstr>Einkommensbericht!Print_Area</vt:lpstr>
      <vt:lpstr>'Fehlende Anschaffungen'!Print_Area</vt:lpstr>
      <vt:lpstr>Gebühren!Print_Area</vt:lpstr>
      <vt:lpstr>Gestohlen_Verloren!Print_Area</vt:lpstr>
      <vt:lpstr>'Kapitalertragsbericht - Verkäuf'!Print_Area</vt:lpstr>
      <vt:lpstr>'Nicht verkaufte Datum'!Print_Area</vt:lpstr>
      <vt:lpstr>'Nicht verkaufte gruppiert'!Print_Area</vt:lpstr>
      <vt:lpstr>'Nicht verkaufte Positionen'!Print_Area</vt:lpstr>
      <vt:lpstr>Spenden_Schenkungen!Print_Area</vt:lpstr>
      <vt:lpstr>Termingeschäfte!Print_Area</vt:lpstr>
      <vt:lpstr>Transaktionsliste!Print_Area</vt:lpstr>
      <vt:lpstr>Einkommensbericht!Print_Titles</vt:lpstr>
      <vt:lpstr>'Fehlende Anschaffungen'!Print_Titles</vt:lpstr>
      <vt:lpstr>Gebühren!Print_Titles</vt:lpstr>
      <vt:lpstr>Gestohlen_Verloren!Print_Titles</vt:lpstr>
      <vt:lpstr>'Kapitalertragsbericht - Verkäuf'!Print_Titles</vt:lpstr>
      <vt:lpstr>'Nicht verkaufte Datum'!Print_Titles</vt:lpstr>
      <vt:lpstr>'Nicht verkaufte gruppiert'!Print_Titles</vt:lpstr>
      <vt:lpstr>'Nicht verkaufte Positionen'!Print_Titles</vt:lpstr>
      <vt:lpstr>Spenden_Schenkungen!Print_Titles</vt:lpstr>
      <vt:lpstr>Termingeschäfte!Print_Titles</vt:lpstr>
      <vt:lpstr>Transaktionsliste!Print_Titles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Alec  Eastman</cp:lastModifiedBy>
  <cp:lastPrinted>2021-09-27T12:33:30Z</cp:lastPrinted>
  <dcterms:created xsi:type="dcterms:W3CDTF">2021-10-20T14:58:32Z</dcterms:created>
  <dcterms:modified xsi:type="dcterms:W3CDTF">2023-02-14T11:07:18Z</dcterms:modified>
</cp:coreProperties>
</file>