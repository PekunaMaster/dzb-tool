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showInkAnnotation="0" codeName="DieseArbeitsmappe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stuart/Desktop/dzb/templates/others/"/>
    </mc:Choice>
  </mc:AlternateContent>
  <xr:revisionPtr revIDLastSave="0" documentId="13_ncr:1_{168C5095-1D6E-4F40-ADCC-322E8D44AC33}" xr6:coauthVersionLast="47" xr6:coauthVersionMax="47" xr10:uidLastSave="{00000000-0000-0000-0000-000000000000}"/>
  <bookViews>
    <workbookView xWindow="0" yWindow="500" windowWidth="28800" windowHeight="16060" tabRatio="500" firstSheet="5" activeTab="8" xr2:uid="{00000000-000D-0000-FFFF-FFFF00000000}"/>
  </bookViews>
  <sheets>
    <sheet name="Zusammenfassung" sheetId="6" r:id="rId1"/>
    <sheet name="Exchange Liste" sheetId="20" r:id="rId2"/>
    <sheet name="Kapitalertragsbericht - Verkäuf" sheetId="12" r:id="rId3"/>
    <sheet name="Fehlende Anschaffungen" sheetId="5" r:id="rId4"/>
    <sheet name="Einkommensbericht" sheetId="8" r:id="rId5"/>
    <sheet name="Spenden_Schenkungen" sheetId="10" r:id="rId6"/>
    <sheet name="Gebühren" sheetId="22" r:id="rId7"/>
    <sheet name="Gestohlen_Verloren" sheetId="14" r:id="rId8"/>
    <sheet name="Nicht verkaufte Positionen" sheetId="2" r:id="rId9"/>
    <sheet name="Nicht verkaufte Datum" sheetId="24" r:id="rId10"/>
    <sheet name="Nicht verkaufte gruppiert" sheetId="23" r:id="rId11"/>
    <sheet name="Termingeschäfte" sheetId="9" r:id="rId12"/>
    <sheet name="Transaktionsliste" sheetId="17" r:id="rId13"/>
  </sheets>
  <definedNames>
    <definedName name="_xlnm.Print_Area" localSheetId="4">Einkommensbericht!$A$1:$H$15</definedName>
    <definedName name="_xlnm.Print_Area" localSheetId="3">'Fehlende Anschaffungen'!$A$1:$K$8</definedName>
    <definedName name="_xlnm.Print_Area" localSheetId="6">Gebühren!$A$1:$H$10</definedName>
    <definedName name="_xlnm.Print_Area" localSheetId="7">Gestohlen_Verloren!$A$1:$H$8</definedName>
    <definedName name="_xlnm.Print_Area" localSheetId="2">'Kapitalertragsbericht - Verkäuf'!$A$1:$K$15</definedName>
    <definedName name="_xlnm.Print_Area" localSheetId="9">'Nicht verkaufte Datum'!$A$1:$G$8</definedName>
    <definedName name="_xlnm.Print_Area" localSheetId="10">'Nicht verkaufte gruppiert'!$A$1:$I$8</definedName>
    <definedName name="_xlnm.Print_Area" localSheetId="8">'Nicht verkaufte Positionen'!$A$1:$I$8</definedName>
    <definedName name="_xlnm.Print_Area" localSheetId="5">Spenden_Schenkungen!$A$1:$H$8</definedName>
    <definedName name="_xlnm.Print_Area" localSheetId="11">Termingeschäfte!$A$1:$K$14</definedName>
    <definedName name="_xlnm.Print_Area" localSheetId="12">Transaktionsliste!$A$1:$K$8</definedName>
    <definedName name="_xlnm.Print_Titles" localSheetId="4">Einkommensbericht!$1:$7</definedName>
    <definedName name="_xlnm.Print_Titles" localSheetId="3">'Fehlende Anschaffungen'!$1:$7</definedName>
    <definedName name="_xlnm.Print_Titles" localSheetId="6">Gebühren!$1:$7</definedName>
    <definedName name="_xlnm.Print_Titles" localSheetId="7">Gestohlen_Verloren!$1:$7</definedName>
    <definedName name="_xlnm.Print_Titles" localSheetId="2">'Kapitalertragsbericht - Verkäuf'!$1:$7</definedName>
    <definedName name="_xlnm.Print_Titles" localSheetId="9">'Nicht verkaufte Datum'!$1:$7</definedName>
    <definedName name="_xlnm.Print_Titles" localSheetId="10">'Nicht verkaufte gruppiert'!$1:$7</definedName>
    <definedName name="_xlnm.Print_Titles" localSheetId="8">'Nicht verkaufte Positionen'!$1:$7</definedName>
    <definedName name="_xlnm.Print_Titles" localSheetId="5">Spenden_Schenkungen!$1:$7</definedName>
    <definedName name="_xlnm.Print_Titles" localSheetId="11">Termingeschäfte!$1:$7</definedName>
    <definedName name="_xlnm.Print_Titles" localSheetId="12">Transaktionsliste!$1:$7</definedName>
  </definedNames>
  <calcPr calcId="191029"/>
  <pivotCaches>
    <pivotCache cacheId="17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24" l="1"/>
  <c r="A5" i="23"/>
  <c r="H9" i="22" l="1"/>
  <c r="K12" i="12" s="1"/>
  <c r="A5" i="22"/>
  <c r="C19" i="6"/>
  <c r="C17" i="6"/>
  <c r="K11" i="9"/>
  <c r="K10" i="9"/>
  <c r="K14" i="9" s="1"/>
  <c r="G11" i="8" l="1"/>
  <c r="H8" i="8"/>
  <c r="B14" i="6"/>
  <c r="B18" i="6"/>
  <c r="B12" i="6"/>
  <c r="A13" i="6"/>
  <c r="A17" i="6"/>
  <c r="A19" i="6" s="1"/>
  <c r="A11" i="6"/>
  <c r="G9" i="8"/>
  <c r="K11" i="12"/>
  <c r="J11" i="12"/>
  <c r="I11" i="12"/>
  <c r="K9" i="12"/>
  <c r="J9" i="12"/>
  <c r="I9" i="12"/>
  <c r="A5" i="9"/>
  <c r="A5" i="2"/>
  <c r="A5" i="14"/>
  <c r="A5" i="10"/>
  <c r="A5" i="8"/>
  <c r="A5" i="5"/>
  <c r="A5" i="12"/>
  <c r="I10" i="12" l="1"/>
  <c r="J10" i="12"/>
  <c r="K10" i="12"/>
  <c r="K14" i="12" s="1"/>
  <c r="C11" i="6" s="1"/>
  <c r="G10" i="8"/>
  <c r="G14" i="8" s="1"/>
  <c r="C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tc={535C5C26-40BA-5B44-8491-7312ED3A5B3B}</author>
    <author>Özgür</author>
  </authors>
  <commentList>
    <comment ref="L1" authorId="0" shapeId="0" xr:uid="{535C5C26-40BA-5B44-8491-7312ED3A5B3B}">
      <text>
        <t>[Threaded comment]
Your version of Excel allows you to read this threaded comment; however, any edits to it will get removed if the file is opened in a newer version of Excel. Learn more: https://go.microsoft.com/fwlink/?linkid=870924
Comment:
    Download des Kapitalertragsberichts per Excel. Zusammenfassung pro Jahr hier rein kopieren.
Reply:
    Zahlen vergleichen mit unseren eigenen Berechnungen aus Blatt „Kapitalertragsbericht“
Reply:
    Die Zahl Short letzte Spalte wird dann als Trading Gewinn in das Gutachten übernommen, sowie die Werte für Margin Trading.
Reply:
    Muss nicht formatiert oder aufgeräumt werden. Diese Seite geht nicht an den Kunden.</t>
      </text>
    </comment>
    <comment ref="A4" authorId="1" shapeId="0" xr:uid="{48338829-4549-EA46-959E-D0595F82D5F4}">
      <text>
        <r>
          <rPr>
            <b/>
            <sz val="10"/>
            <color rgb="FF000000"/>
            <rFont val="Tahoma"/>
            <family val="2"/>
          </rPr>
          <t>Özgür: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Jahreszahlt nur hier ändern, damit sich jeder Reiter ändert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tc={098C1D89-C8D3-7842-8E33-F31632139186}</author>
  </authors>
  <commentList>
    <comment ref="K1" authorId="0" shapeId="0" xr:uid="{098C1D89-C8D3-7842-8E33-F31632139186}">
      <text>
        <t>[Threaded comment]
Your version of Excel allows you to read this threaded comment; however, any edits to it will get removed if the file is opened in a newer version of Excel. Learn more: https://go.microsoft.com/fwlink/?linkid=870924
Comment:
    Aus Cointracking, Kapitalertragsbericht, gefiltert nach „Warnungen anzeigen“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tc={E5ACAD73-572E-4344-923C-041525153F4B}</author>
  </authors>
  <commentList>
    <comment ref="H1" authorId="0" shapeId="0" xr:uid="{E5ACAD73-572E-4344-923C-041525153F4B}">
      <text>
        <t>[Threaded comment]
Your version of Excel allows you to read this threaded comment; however, any edits to it will get removed if the file is opened in a newer version of Excel. Learn more: https://go.microsoft.com/fwlink/?linkid=870924
Comment:
    Export als Excel, andernfalls ist die Formatierung falsch.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tc={042605B4-4D82-8445-BE9A-38700071CE4A}</author>
  </authors>
  <commentList>
    <comment ref="H1" authorId="0" shapeId="0" xr:uid="{042605B4-4D82-8445-BE9A-38700071CE4A}">
      <text>
        <t>[Threaded comment]
Your version of Excel allows you to read this threaded comment; however, any edits to it will get removed if the file is opened in a newer version of Excel. Learn more: https://go.microsoft.com/fwlink/?linkid=870924
Comment:
    Export als Excel, andernfalls ist die Formatierung falsch.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tc={9F0EBFA7-A492-624E-8488-91FA877DCCD3}</author>
  </authors>
  <commentList>
    <comment ref="K1" authorId="0" shapeId="0" xr:uid="{9F0EBFA7-A492-624E-8488-91FA877DCCD3}">
      <text>
        <t>[Threaded comment]
Your version of Excel allows you to read this threaded comment; however, any edits to it will get removed if the file is opened in a newer version of Excel. Learn more: https://go.microsoft.com/fwlink/?linkid=870924
Comment:
    Teil des Kapitalertragsberichtes. Von dort Löschen und hier gesondert aufführen. 
Spalte mit Haltefrist löschen. Summen berechnen. Fußzeile aus Kopierelemente verwenden.
Reply:
    Alle Einträge die in Cointracking als „margin … „ aufgeführt sind müssen aus dem Kapitalertragsbericht gelöscht werden und hier gesondert aufgeführt werden.
Reply:
    Summen aus Kopierelemente verwenden.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Özgür</author>
  </authors>
  <commentList>
    <comment ref="B5" authorId="0" shapeId="0" xr:uid="{991717EA-B0CE-A64E-A027-5E78579C871C}">
      <text>
        <r>
          <rPr>
            <b/>
            <sz val="10"/>
            <color rgb="FF000000"/>
            <rFont val="Tahoma"/>
            <family val="2"/>
          </rPr>
          <t>Özgür: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Die betroffenen Jahre angeben, die in der Liste abgebildet werden</t>
        </r>
      </text>
    </comment>
  </commentList>
</comments>
</file>

<file path=xl/sharedStrings.xml><?xml version="1.0" encoding="utf-8"?>
<sst xmlns="http://schemas.openxmlformats.org/spreadsheetml/2006/main" count="200" uniqueCount="121">
  <si>
    <t>Typ</t>
  </si>
  <si>
    <t>Kauf</t>
  </si>
  <si>
    <t>Verkauf</t>
  </si>
  <si>
    <t>Anzahl</t>
  </si>
  <si>
    <t>Währung</t>
  </si>
  <si>
    <t>Erwerbsdatum</t>
  </si>
  <si>
    <t>Kaufpreis in EUR</t>
  </si>
  <si>
    <t>Kostenbasis in EUR</t>
  </si>
  <si>
    <t>Jahres End Wert in EUR</t>
  </si>
  <si>
    <t>Gewinn/Verlust in EUR</t>
  </si>
  <si>
    <t>Verkaufsdatum</t>
  </si>
  <si>
    <t>Erlös in EUR</t>
  </si>
  <si>
    <t>Haltefrist</t>
  </si>
  <si>
    <t>Kauf /Eingang bei</t>
  </si>
  <si>
    <t>Verkauf /Ausgang bei</t>
  </si>
  <si>
    <t>Gewinn in EUR</t>
  </si>
  <si>
    <t>Bestände zum Jahresende</t>
  </si>
  <si>
    <t>Diese Tabelle enthält alle Bestände zum 31.12. des angegebenen Jahres.</t>
  </si>
  <si>
    <t>Transaktionsliste</t>
  </si>
  <si>
    <t>Betrachtung von Termingeschäften</t>
  </si>
  <si>
    <t>Diese Tabelle enthält alle Vorgänge die im Zusammenhang mit Termingeschäften durchgeführt wurden</t>
  </si>
  <si>
    <t>Diese Tabelle enthält alle Transaktionen des Berichtszeitraums.</t>
  </si>
  <si>
    <t>Betrachtung von sonstigen Einkünften im Zusammenhang mit Kryptowährungen</t>
  </si>
  <si>
    <t>Diese Tabelle enthält alle Vorgänge die im Zusammenhang mit sonstigen Einkünften stehen</t>
  </si>
  <si>
    <t>Zuflussdatum</t>
  </si>
  <si>
    <t>Art</t>
  </si>
  <si>
    <t>Kommentar</t>
  </si>
  <si>
    <t>Wert im Zeitpunkt des Eingangs</t>
  </si>
  <si>
    <t>Wert bei Schenkung</t>
  </si>
  <si>
    <t>Betrachtung von Geschenken und Spenden</t>
  </si>
  <si>
    <t>Diese Tabelle enthält alle Vorgänge die im Zusammenhang mit Geschenken und Spenden abflüssen zu tun hat.</t>
  </si>
  <si>
    <t xml:space="preserve">Währung </t>
  </si>
  <si>
    <t>Kauf/Eingang bei</t>
  </si>
  <si>
    <t>Kostenbasis Berechnung</t>
  </si>
  <si>
    <t>Wert bei Verlust in EUR</t>
  </si>
  <si>
    <t>Verlustdatum</t>
  </si>
  <si>
    <t>Kostenbasis</t>
  </si>
  <si>
    <t>Kurs zum Jahresende in EUR</t>
  </si>
  <si>
    <t>SUMME Gewinne</t>
  </si>
  <si>
    <t xml:space="preserve">SUMME Verluste </t>
  </si>
  <si>
    <t>Aus Gründen der besseren Lesbarkeit ist hiervon ausgenommen Termingeschäfte und Gebühren.</t>
  </si>
  <si>
    <t>Diese Tabelle enthält alle Vorgänge die im Zusammenhang mit Gestohlenen und Verlorenen abflüssen zu tun haben.</t>
  </si>
  <si>
    <t>Betrachtung von gestohlen und verlorenen Coins</t>
  </si>
  <si>
    <t>Anschaffungskosten</t>
  </si>
  <si>
    <t xml:space="preserve">  Wert in EUR  </t>
  </si>
  <si>
    <t xml:space="preserve">  Wert in EUR </t>
  </si>
  <si>
    <t xml:space="preserve">  Börse  </t>
  </si>
  <si>
    <t xml:space="preserve">  Gruppe  </t>
  </si>
  <si>
    <t xml:space="preserve">  Datum  </t>
  </si>
  <si>
    <t>2016 - 2020</t>
  </si>
  <si>
    <t>Diese Tabelle enthält alle Verkäuf, denen keine Anschaffungskosten zugeordnet werden können.</t>
  </si>
  <si>
    <t>Diese wurden daher nach dem Vorsichtsprinzip mit Anschaffungskosten null und steuerpflichtig bewertet.</t>
  </si>
  <si>
    <t>Kopiervorlage in das Gutachten</t>
  </si>
  <si>
    <t>Jahr</t>
  </si>
  <si>
    <t>Einkunftsart</t>
  </si>
  <si>
    <t>Höhe der steuerlichen Einkünfte</t>
  </si>
  <si>
    <t>Sonstige Einkünfte aus privaten Veräußerungsgeschäften i.S. des § 23 EStG</t>
  </si>
  <si>
    <t>Einkünfte aus Kapitalvermögen i.S. des § 20 Abs. 2 Nr 3 EStG</t>
  </si>
  <si>
    <t>Spot</t>
  </si>
  <si>
    <t>Futures</t>
  </si>
  <si>
    <t>Sonstige Einkünfte aus Leistungen</t>
  </si>
  <si>
    <t>Formel muss angepasst werden (Gewinn und Verlust Bezug)</t>
  </si>
  <si>
    <t>20k Verlustgrenze mit in die Formel?</t>
  </si>
  <si>
    <t>Kümmert sich der Stb. Dadrum? Dann müssen Verluste extra abgebildet werden</t>
  </si>
  <si>
    <t>zB. Bitmex, Bybit</t>
  </si>
  <si>
    <t>Zeilenbeschriftungen</t>
  </si>
  <si>
    <t>(Leer)</t>
  </si>
  <si>
    <t>Gesamtergebnis</t>
  </si>
  <si>
    <t>Laden der Tabelle: Klicke auf A4 -&gt; Menü PivotTable -&gt; Aktualisieren</t>
  </si>
  <si>
    <t>Betrachtung privater Veräußerungsgeschäfte</t>
  </si>
  <si>
    <t>Zinsen, Mining</t>
  </si>
  <si>
    <t>Summe Einnahmen aus Veräußerungsgeschäften</t>
  </si>
  <si>
    <t>davon steuerfrei</t>
  </si>
  <si>
    <t>davon steuerpflichtig</t>
  </si>
  <si>
    <t>abziehbare Werbungskosten</t>
  </si>
  <si>
    <t>Summe Einkünfte aus privaten Veräußerungsgeschäften</t>
  </si>
  <si>
    <t>Summe Einnahmen aus sonstigen Einkünften</t>
  </si>
  <si>
    <t>Summe sonstige Einkünfte</t>
  </si>
  <si>
    <t>Unbekannte Anschaffungen</t>
  </si>
  <si>
    <t xml:space="preserve"> </t>
  </si>
  <si>
    <t>Spalte E händisch rauslöschen</t>
  </si>
  <si>
    <t>Gebühren (nicht abzugsfähig)</t>
  </si>
  <si>
    <t>Abziehbare Verluste</t>
  </si>
  <si>
    <t>SUMME</t>
  </si>
  <si>
    <t>Max. 20k Verlust möglich</t>
  </si>
  <si>
    <t>Verluste aus Kapitalvermögen i.S. des § 20 Abs. 2 Nr 3 EStG</t>
  </si>
  <si>
    <t>Einzutragen in Zeile 24 (Summe der Verluste)</t>
  </si>
  <si>
    <t>Gebührenbericht</t>
  </si>
  <si>
    <t>Diese Tabelle enthält alle Verkäufe, Täusche und andere potentiell steuerpflichtigen Vorgänge des Kalendesjahres</t>
  </si>
  <si>
    <t>Transaktion bei</t>
  </si>
  <si>
    <t>Wert bei Transaktion in EUR</t>
  </si>
  <si>
    <t>Diese Tabelle enthält alle Gebühren die im Zusammenhang mit Verkäufe, Täusche und andere potentiell steuerpflichtigen Vorgänge des Kalendesjahres entstanden sind.</t>
  </si>
  <si>
    <t>Datum der Gebühr</t>
  </si>
  <si>
    <t xml:space="preserve">  </t>
  </si>
  <si>
    <t xml:space="preserve">   </t>
  </si>
  <si>
    <t>Bestände zum Jahresende (gruppiert nach Währung)</t>
  </si>
  <si>
    <t>Ausgang bei</t>
  </si>
  <si>
    <t>Anleitung:</t>
  </si>
  <si>
    <t>2. Das Makro staren (Orangen Feld klicken)</t>
  </si>
  <si>
    <t>3. Spalte B markieren und mit Suchen+Ersetzen (SHIFT+CMD+H)</t>
  </si>
  <si>
    <t>Damit werden alle dopplten Daten gelöscht</t>
  </si>
  <si>
    <t>1. Aus CT die Zahlen vom Kapitalertragbericht in Zelle A8 hineinkopieren</t>
  </si>
  <si>
    <t>nach ",*" suchen und mit LEERLASSEN erseztzen.</t>
  </si>
  <si>
    <t>1. Aus "Kapitalertragsbericht" wurden hier automatsiert</t>
  </si>
  <si>
    <t>die unbekannten Anschaffungen übertragen.</t>
  </si>
  <si>
    <t>1. Aus CT die Zahlen vom Einkommensbericht in Zelle A8 hineinkopieren</t>
  </si>
  <si>
    <t>3. Kontrollieren, ob steuerfreie Einnahmen tatsächlich steuerfrei sind</t>
  </si>
  <si>
    <t>1. Aus CT die Zahlen aus Spenden in Zelle A8 hineinkopieren</t>
  </si>
  <si>
    <t>1. Aus CT die Zahlen vom Gebührenbericht in Zelle A8 hineinkopieren</t>
  </si>
  <si>
    <t>2. Die Gebührensumme wird automatisch berechnet und ist im Kapitalbericht verknpüft</t>
  </si>
  <si>
    <t>3. Hier brauch nichts (außer 1.) gemacht werden und darf NICHT in die Anlage</t>
  </si>
  <si>
    <t>3. Das Makro führt Bestände mit dem gleichen Dazum zusammen</t>
  </si>
  <si>
    <t>und kopiert die Ergebnisse in "Nicht verkaufte Datum".</t>
  </si>
  <si>
    <t>1. Das Makro aus "Nicht verkaufte Positonen" hat die Tabelle automatisiert befüllt</t>
  </si>
  <si>
    <t>1. Aus CT den oberen Bereich von "nicht verkaufte Positionen" in Zelle A8 hineinkopieren.</t>
  </si>
  <si>
    <t>1."EUR" ab Zeile 8 löschen mit Suchen und Ersetzen (Shift+CMD+H): Suchen: EUR; Ersetzen: LEER</t>
  </si>
  <si>
    <t>2. Das Makro starten (Orangen Feld klicken)</t>
  </si>
  <si>
    <t>Stand:</t>
  </si>
  <si>
    <t>Kein Makro, nichts bearbeitet</t>
  </si>
  <si>
    <t>2. Reiter Grün färben, sofern dieser Reiter befüllt wurde</t>
  </si>
  <si>
    <t>3. Es muss hier nichts gemacht werden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</si>
</sst>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$]dd/mm/yy;@" x16r2:formatCode16="[$-en-DE,1]dd/mm/yy;@"/>
    <numFmt numFmtId="165" formatCode="#,##0.000000\ &quot;€&quot;"/>
    <numFmt numFmtId="166" formatCode="dd/mm/yy;@"/>
    <numFmt numFmtId="167" formatCode="#,##0.00\ _€"/>
    <numFmt numFmtId="168" formatCode="d/m/yy;@"/>
    <numFmt numFmtId="169" formatCode="_-* #,##0.000000_-;\-* #,##0.000000_-;_-* &quot;-&quot;??_-;_-@_-"/>
    <numFmt numFmtId="170" formatCode="dd\.mm\.yyyy"/>
    <numFmt numFmtId="171" formatCode="_(&quot;€&quot;* #,##0.00_);_(&quot;€&quot;* \(#,##0.00\);_(&quot;€&quot;* &quot;-&quot;??_);_(@_)"/>
    <numFmt numFmtId="172" formatCode="_-* #,##0.00\ [$€-407]_-;\-* #,##0.00\ [$€-407]_-;_-* &quot;-&quot;??\ [$€-407]_-;_-@_-"/>
    <numFmt numFmtId="173" formatCode="_(* #,##0.00_);_(* \(#,##0.00\);_(* &quot;-&quot;??_);_(@_)"/>
    <numFmt numFmtId="174" formatCode="_-* #,##0.0000_-;\-* #,##0.0000_-;_-* &quot;-&quot;??_-;_-@_-"/>
  </numFmts>
  <fonts count="31" x14ac:knownFonts="1">
    <font>
      <sz val="11"/>
      <name val="Calibri"/>
    </font>
    <font>
      <b/>
      <sz val="11"/>
      <name val="Calibri"/>
      <family val="2"/>
    </font>
    <font>
      <sz val="2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sz val="11"/>
      <color theme="0"/>
      <name val="Calibri"/>
      <family val="2"/>
    </font>
    <font>
      <b/>
      <sz val="12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1"/>
      <color rgb="FFFFFFFF"/>
      <name val="Calibri"/>
      <family val="2"/>
    </font>
    <font>
      <sz val="8"/>
      <name val="Calibri"/>
      <family val="2"/>
    </font>
    <font>
      <sz val="13"/>
      <name val="Helvetica Neue"/>
      <family val="2"/>
    </font>
    <font>
      <b/>
      <sz val="12"/>
      <name val="Calibri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name val="Calibri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i/>
      <sz val="9"/>
      <name val="Arial"/>
      <family val="2"/>
    </font>
    <font>
      <sz val="12"/>
      <color rgb="FFFFFFFF"/>
      <name val="Helvetica"/>
      <family val="2"/>
    </font>
    <font>
      <sz val="12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</font>
    <font>
      <sz val="12"/>
      <name val="Verdana"/>
      <family val="2"/>
    </font>
    <font>
      <b/>
      <sz val="16"/>
      <name val="Calibri"/>
      <family val="2"/>
    </font>
    <font>
      <sz val="14"/>
      <name val="Calibri"/>
      <family val="2"/>
    </font>
    <font>
      <b/>
      <sz val="14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indexed="64"/>
      </patternFill>
    </fill>
  </fills>
  <borders count="3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7">
    <xf numFmtId="0" fontId="0" fillId="0" borderId="0"/>
    <xf numFmtId="44" fontId="9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3" fillId="0" borderId="0"/>
    <xf numFmtId="171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27" fillId="0" borderId="0"/>
  </cellStyleXfs>
  <cellXfs count="137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/>
    <xf numFmtId="14" fontId="0" fillId="0" borderId="0" xfId="0" applyNumberFormat="1"/>
    <xf numFmtId="14" fontId="4" fillId="0" borderId="0" xfId="0" applyNumberFormat="1" applyFont="1"/>
    <xf numFmtId="22" fontId="0" fillId="0" borderId="0" xfId="0" applyNumberFormat="1"/>
    <xf numFmtId="0" fontId="5" fillId="0" borderId="0" xfId="0" applyFont="1"/>
    <xf numFmtId="14" fontId="5" fillId="0" borderId="0" xfId="0" applyNumberFormat="1" applyFont="1"/>
    <xf numFmtId="22" fontId="3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7" fillId="0" borderId="0" xfId="0" applyFont="1"/>
    <xf numFmtId="0" fontId="6" fillId="2" borderId="0" xfId="0" applyFont="1" applyFill="1"/>
    <xf numFmtId="0" fontId="10" fillId="0" borderId="0" xfId="0" applyFont="1"/>
    <xf numFmtId="44" fontId="10" fillId="0" borderId="0" xfId="1" applyFont="1"/>
    <xf numFmtId="44" fontId="0" fillId="0" borderId="0" xfId="1" applyFont="1" applyFill="1" applyBorder="1"/>
    <xf numFmtId="44" fontId="0" fillId="0" borderId="0" xfId="1" applyFont="1"/>
    <xf numFmtId="44" fontId="0" fillId="0" borderId="0" xfId="1" applyFont="1" applyFill="1" applyBorder="1" applyAlignment="1">
      <alignment horizontal="right"/>
    </xf>
    <xf numFmtId="44" fontId="3" fillId="0" borderId="0" xfId="1" applyFont="1" applyFill="1" applyBorder="1" applyAlignment="1">
      <alignment horizontal="right"/>
    </xf>
    <xf numFmtId="0" fontId="2" fillId="0" borderId="0" xfId="1" applyNumberFormat="1" applyFont="1" applyFill="1" applyBorder="1" applyAlignment="1">
      <alignment horizontal="left"/>
    </xf>
    <xf numFmtId="0" fontId="0" fillId="0" borderId="0" xfId="1" applyNumberFormat="1" applyFont="1" applyFill="1" applyBorder="1"/>
    <xf numFmtId="44" fontId="6" fillId="2" borderId="0" xfId="1" applyFont="1" applyFill="1" applyBorder="1"/>
    <xf numFmtId="44" fontId="5" fillId="0" borderId="0" xfId="1" applyFont="1" applyFill="1" applyBorder="1" applyAlignment="1">
      <alignment horizontal="right"/>
    </xf>
    <xf numFmtId="0" fontId="11" fillId="3" borderId="5" xfId="0" applyFont="1" applyFill="1" applyBorder="1"/>
    <xf numFmtId="0" fontId="11" fillId="3" borderId="6" xfId="0" applyFont="1" applyFill="1" applyBorder="1"/>
    <xf numFmtId="44" fontId="11" fillId="3" borderId="6" xfId="0" applyNumberFormat="1" applyFont="1" applyFill="1" applyBorder="1"/>
    <xf numFmtId="44" fontId="11" fillId="3" borderId="6" xfId="0" applyNumberFormat="1" applyFont="1" applyFill="1" applyBorder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2" fillId="0" borderId="0" xfId="0" applyNumberFormat="1" applyFont="1" applyAlignment="1">
      <alignment horizontal="left"/>
    </xf>
    <xf numFmtId="166" fontId="0" fillId="0" borderId="0" xfId="0" applyNumberFormat="1"/>
    <xf numFmtId="167" fontId="0" fillId="0" borderId="0" xfId="1" applyNumberFormat="1" applyFont="1" applyFill="1" applyBorder="1" applyAlignment="1">
      <alignment horizontal="right"/>
    </xf>
    <xf numFmtId="167" fontId="7" fillId="0" borderId="0" xfId="0" applyNumberFormat="1" applyFont="1"/>
    <xf numFmtId="167" fontId="3" fillId="0" borderId="0" xfId="1" applyNumberFormat="1" applyFont="1" applyFill="1" applyBorder="1" applyAlignment="1">
      <alignment horizontal="right"/>
    </xf>
    <xf numFmtId="166" fontId="7" fillId="0" borderId="0" xfId="0" applyNumberFormat="1" applyFont="1"/>
    <xf numFmtId="167" fontId="0" fillId="0" borderId="0" xfId="1" applyNumberFormat="1" applyFont="1" applyFill="1" applyBorder="1"/>
    <xf numFmtId="1" fontId="2" fillId="0" borderId="0" xfId="0" applyNumberFormat="1" applyFont="1" applyAlignment="1">
      <alignment horizontal="left"/>
    </xf>
    <xf numFmtId="1" fontId="5" fillId="0" borderId="0" xfId="0" applyNumberFormat="1" applyFont="1"/>
    <xf numFmtId="1" fontId="0" fillId="0" borderId="0" xfId="0" applyNumberFormat="1"/>
    <xf numFmtId="44" fontId="3" fillId="0" borderId="0" xfId="0" applyNumberFormat="1" applyFont="1"/>
    <xf numFmtId="44" fontId="11" fillId="3" borderId="7" xfId="0" applyNumberFormat="1" applyFont="1" applyFill="1" applyBorder="1" applyAlignment="1">
      <alignment horizontal="right"/>
    </xf>
    <xf numFmtId="0" fontId="14" fillId="0" borderId="0" xfId="0" applyFont="1"/>
    <xf numFmtId="169" fontId="3" fillId="0" borderId="3" xfId="0" applyNumberFormat="1" applyFont="1" applyBorder="1"/>
    <xf numFmtId="169" fontId="3" fillId="0" borderId="0" xfId="0" applyNumberFormat="1" applyFont="1"/>
    <xf numFmtId="169" fontId="3" fillId="0" borderId="0" xfId="2" applyNumberFormat="1" applyFont="1" applyFill="1" applyBorder="1"/>
    <xf numFmtId="170" fontId="0" fillId="0" borderId="0" xfId="0" applyNumberFormat="1"/>
    <xf numFmtId="44" fontId="7" fillId="0" borderId="0" xfId="1" applyFont="1"/>
    <xf numFmtId="0" fontId="18" fillId="0" borderId="0" xfId="0" applyFont="1" applyAlignment="1">
      <alignment vertical="center" wrapText="1"/>
    </xf>
    <xf numFmtId="0" fontId="18" fillId="4" borderId="11" xfId="0" applyFont="1" applyFill="1" applyBorder="1" applyAlignment="1">
      <alignment horizontal="center" vertical="center" wrapText="1"/>
    </xf>
    <xf numFmtId="0" fontId="19" fillId="4" borderId="10" xfId="0" applyFont="1" applyFill="1" applyBorder="1" applyAlignment="1">
      <alignment horizontal="center" vertical="center" wrapText="1"/>
    </xf>
    <xf numFmtId="0" fontId="19" fillId="4" borderId="12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2" fillId="0" borderId="0" xfId="0" applyFont="1"/>
    <xf numFmtId="0" fontId="7" fillId="0" borderId="25" xfId="0" applyFont="1" applyBorder="1"/>
    <xf numFmtId="169" fontId="1" fillId="0" borderId="26" xfId="0" applyNumberFormat="1" applyFont="1" applyBorder="1"/>
    <xf numFmtId="0" fontId="1" fillId="0" borderId="26" xfId="1" applyNumberFormat="1" applyFont="1" applyFill="1" applyBorder="1"/>
    <xf numFmtId="166" fontId="1" fillId="0" borderId="26" xfId="0" applyNumberFormat="1" applyFont="1" applyBorder="1"/>
    <xf numFmtId="0" fontId="1" fillId="0" borderId="26" xfId="0" applyFont="1" applyBorder="1"/>
    <xf numFmtId="44" fontId="23" fillId="0" borderId="0" xfId="1" applyFont="1" applyFill="1" applyBorder="1" applyAlignment="1">
      <alignment horizontal="right"/>
    </xf>
    <xf numFmtId="44" fontId="1" fillId="0" borderId="26" xfId="1" applyFont="1" applyFill="1" applyBorder="1" applyAlignment="1">
      <alignment horizontal="right"/>
    </xf>
    <xf numFmtId="14" fontId="24" fillId="0" borderId="4" xfId="0" applyNumberFormat="1" applyFont="1" applyBorder="1"/>
    <xf numFmtId="0" fontId="24" fillId="0" borderId="4" xfId="0" applyFont="1" applyBorder="1"/>
    <xf numFmtId="44" fontId="24" fillId="0" borderId="4" xfId="1" applyFont="1" applyFill="1" applyBorder="1"/>
    <xf numFmtId="44" fontId="1" fillId="0" borderId="26" xfId="1" applyFont="1" applyFill="1" applyBorder="1"/>
    <xf numFmtId="0" fontId="8" fillId="0" borderId="3" xfId="0" applyFont="1" applyBorder="1"/>
    <xf numFmtId="0" fontId="8" fillId="0" borderId="4" xfId="0" applyFont="1" applyBorder="1"/>
    <xf numFmtId="14" fontId="8" fillId="0" borderId="4" xfId="0" applyNumberFormat="1" applyFont="1" applyBorder="1"/>
    <xf numFmtId="167" fontId="8" fillId="0" borderId="27" xfId="0" applyNumberFormat="1" applyFont="1" applyBorder="1"/>
    <xf numFmtId="14" fontId="3" fillId="0" borderId="0" xfId="0" applyNumberFormat="1" applyFont="1"/>
    <xf numFmtId="44" fontId="25" fillId="0" borderId="28" xfId="1" applyFont="1" applyBorder="1"/>
    <xf numFmtId="44" fontId="25" fillId="0" borderId="29" xfId="1" applyFont="1" applyBorder="1"/>
    <xf numFmtId="44" fontId="25" fillId="0" borderId="0" xfId="1" applyFont="1" applyBorder="1"/>
    <xf numFmtId="0" fontId="3" fillId="0" borderId="0" xfId="1" applyNumberFormat="1" applyFont="1" applyFill="1" applyBorder="1"/>
    <xf numFmtId="166" fontId="3" fillId="0" borderId="0" xfId="0" applyNumberFormat="1" applyFont="1"/>
    <xf numFmtId="0" fontId="2" fillId="0" borderId="0" xfId="3" applyFont="1" applyAlignment="1">
      <alignment horizontal="left"/>
    </xf>
    <xf numFmtId="0" fontId="3" fillId="0" borderId="0" xfId="3"/>
    <xf numFmtId="172" fontId="0" fillId="0" borderId="0" xfId="4" applyNumberFormat="1" applyFont="1" applyFill="1" applyBorder="1" applyAlignment="1">
      <alignment horizontal="right"/>
    </xf>
    <xf numFmtId="0" fontId="5" fillId="0" borderId="0" xfId="3" applyFont="1"/>
    <xf numFmtId="0" fontId="22" fillId="0" borderId="0" xfId="3" applyFont="1"/>
    <xf numFmtId="14" fontId="1" fillId="0" borderId="0" xfId="3" applyNumberFormat="1" applyFont="1"/>
    <xf numFmtId="172" fontId="5" fillId="0" borderId="0" xfId="4" applyNumberFormat="1" applyFont="1" applyFill="1" applyBorder="1" applyAlignment="1">
      <alignment horizontal="right"/>
    </xf>
    <xf numFmtId="172" fontId="3" fillId="0" borderId="0" xfId="4" applyNumberFormat="1" applyFont="1" applyFill="1" applyBorder="1" applyAlignment="1">
      <alignment horizontal="right"/>
    </xf>
    <xf numFmtId="169" fontId="0" fillId="0" borderId="0" xfId="5" applyNumberFormat="1" applyFont="1"/>
    <xf numFmtId="0" fontId="2" fillId="0" borderId="0" xfId="4" applyNumberFormat="1" applyFont="1" applyFill="1" applyBorder="1" applyAlignment="1">
      <alignment horizontal="left"/>
    </xf>
    <xf numFmtId="0" fontId="0" fillId="0" borderId="0" xfId="4" applyNumberFormat="1" applyFont="1" applyFill="1" applyBorder="1"/>
    <xf numFmtId="0" fontId="1" fillId="0" borderId="26" xfId="4" applyNumberFormat="1" applyFont="1" applyFill="1" applyBorder="1"/>
    <xf numFmtId="14" fontId="2" fillId="0" borderId="0" xfId="5" applyNumberFormat="1" applyFont="1" applyFill="1" applyBorder="1" applyAlignment="1">
      <alignment horizontal="left"/>
    </xf>
    <xf numFmtId="4" fontId="2" fillId="0" borderId="0" xfId="4" applyNumberFormat="1" applyFont="1" applyFill="1" applyBorder="1" applyAlignment="1">
      <alignment horizontal="right"/>
    </xf>
    <xf numFmtId="0" fontId="13" fillId="0" borderId="0" xfId="0" applyFont="1"/>
    <xf numFmtId="14" fontId="0" fillId="0" borderId="0" xfId="5" applyNumberFormat="1" applyFont="1" applyFill="1" applyBorder="1"/>
    <xf numFmtId="4" fontId="0" fillId="0" borderId="0" xfId="4" applyNumberFormat="1" applyFont="1" applyFill="1" applyBorder="1" applyAlignment="1">
      <alignment horizontal="right"/>
    </xf>
    <xf numFmtId="167" fontId="0" fillId="0" borderId="0" xfId="4" applyNumberFormat="1" applyFont="1" applyFill="1" applyBorder="1" applyAlignment="1">
      <alignment horizontal="right"/>
    </xf>
    <xf numFmtId="14" fontId="3" fillId="0" borderId="0" xfId="5" applyNumberFormat="1" applyFont="1" applyFill="1" applyBorder="1"/>
    <xf numFmtId="171" fontId="0" fillId="0" borderId="0" xfId="4" applyFont="1" applyFill="1" applyBorder="1" applyAlignment="1">
      <alignment horizontal="right"/>
    </xf>
    <xf numFmtId="171" fontId="3" fillId="0" borderId="0" xfId="4" applyFont="1" applyFill="1" applyBorder="1" applyAlignment="1">
      <alignment horizontal="right"/>
    </xf>
    <xf numFmtId="171" fontId="0" fillId="0" borderId="0" xfId="4" applyFont="1"/>
    <xf numFmtId="14" fontId="1" fillId="0" borderId="26" xfId="5" applyNumberFormat="1" applyFont="1" applyFill="1" applyBorder="1"/>
    <xf numFmtId="169" fontId="3" fillId="0" borderId="30" xfId="0" applyNumberFormat="1" applyFont="1" applyBorder="1"/>
    <xf numFmtId="0" fontId="8" fillId="0" borderId="31" xfId="0" applyFont="1" applyBorder="1"/>
    <xf numFmtId="14" fontId="3" fillId="0" borderId="31" xfId="5" applyNumberFormat="1" applyFont="1" applyFill="1" applyBorder="1"/>
    <xf numFmtId="14" fontId="3" fillId="0" borderId="31" xfId="0" applyNumberFormat="1" applyFont="1" applyBorder="1"/>
    <xf numFmtId="0" fontId="7" fillId="0" borderId="31" xfId="0" applyFont="1" applyBorder="1"/>
    <xf numFmtId="44" fontId="23" fillId="0" borderId="31" xfId="1" applyFont="1" applyFill="1" applyBorder="1" applyAlignment="1">
      <alignment horizontal="right"/>
    </xf>
    <xf numFmtId="171" fontId="0" fillId="0" borderId="0" xfId="4" applyFont="1" applyFill="1" applyBorder="1"/>
    <xf numFmtId="171" fontId="3" fillId="0" borderId="0" xfId="4" applyFont="1" applyFill="1" applyBorder="1"/>
    <xf numFmtId="168" fontId="0" fillId="0" borderId="0" xfId="0" applyNumberFormat="1"/>
    <xf numFmtId="174" fontId="0" fillId="0" borderId="0" xfId="2" applyNumberFormat="1" applyFont="1"/>
    <xf numFmtId="174" fontId="3" fillId="0" borderId="0" xfId="2" applyNumberFormat="1" applyFont="1" applyFill="1" applyBorder="1"/>
    <xf numFmtId="174" fontId="0" fillId="0" borderId="0" xfId="2" applyNumberFormat="1" applyFont="1" applyFill="1" applyBorder="1"/>
    <xf numFmtId="174" fontId="6" fillId="2" borderId="1" xfId="2" applyNumberFormat="1" applyFont="1" applyFill="1" applyBorder="1"/>
    <xf numFmtId="174" fontId="24" fillId="0" borderId="4" xfId="2" applyNumberFormat="1" applyFont="1" applyFill="1" applyBorder="1"/>
    <xf numFmtId="174" fontId="1" fillId="0" borderId="26" xfId="2" applyNumberFormat="1" applyFont="1" applyBorder="1"/>
    <xf numFmtId="0" fontId="28" fillId="0" borderId="0" xfId="0" applyFont="1"/>
    <xf numFmtId="0" fontId="29" fillId="0" borderId="0" xfId="0" applyFont="1"/>
    <xf numFmtId="44" fontId="1" fillId="0" borderId="0" xfId="1" applyFont="1" applyFill="1" applyBorder="1" applyAlignment="1">
      <alignment horizontal="right"/>
    </xf>
    <xf numFmtId="20" fontId="0" fillId="0" borderId="0" xfId="0" applyNumberFormat="1"/>
    <xf numFmtId="20" fontId="3" fillId="0" borderId="0" xfId="0" applyNumberFormat="1" applyFont="1"/>
    <xf numFmtId="174" fontId="3" fillId="0" borderId="0" xfId="2" applyNumberFormat="1" applyFont="1"/>
    <xf numFmtId="0" fontId="30" fillId="0" borderId="0" xfId="0" applyFont="1"/>
    <xf numFmtId="44" fontId="3" fillId="0" borderId="0" xfId="1" applyFont="1"/>
    <xf numFmtId="0" fontId="18" fillId="0" borderId="20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44" fontId="18" fillId="0" borderId="22" xfId="0" applyNumberFormat="1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44" fontId="18" fillId="0" borderId="18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44" fontId="18" fillId="0" borderId="14" xfId="0" applyNumberFormat="1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</cellXfs>
  <cellStyles count="7">
    <cellStyle name="Comma" xfId="2" builtinId="3"/>
    <cellStyle name="Currency" xfId="1" builtinId="4"/>
    <cellStyle name="Komma 2" xfId="5" xr:uid="{C6908364-701A-D442-B751-59D261FC15E7}"/>
    <cellStyle name="Normal" xfId="0" builtinId="0"/>
    <cellStyle name="Standard 2" xfId="3" xr:uid="{600E1CF9-4974-8A45-BF5D-D2ACBC381CE7}"/>
    <cellStyle name="Standard 3" xfId="6" xr:uid="{EEF324B8-36DC-164E-B5A4-44076DBCEDE1}"/>
    <cellStyle name="Währung 2" xfId="4" xr:uid="{874BB9D6-815B-A047-9AAA-DD5A67CEF237}"/>
  </cellStyles>
  <dxfs count="66">
    <dxf>
      <numFmt numFmtId="19" formatCode="dd/mm/yy"/>
    </dxf>
    <dxf>
      <numFmt numFmtId="174" formatCode="_-* #,##0.0000_-;\-* #,##0.0000_-;_-* &quot;-&quot;??_-;_-@_-"/>
    </dxf>
    <dxf>
      <numFmt numFmtId="174" formatCode="_-* #,##0.0000_-;\-* #,##0.00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rgb="FF000000"/>
          <bgColor rgb="FF00000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67" formatCode="#,##0.00\ _€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[$]dd/mm/yy;@" x16r2:formatCode16="[$-en-DE,1]dd/mm/yy;@"/>
      <fill>
        <patternFill patternType="none">
          <fgColor indexed="64"/>
          <bgColor indexed="65"/>
        </patternFill>
      </fill>
    </dxf>
    <dxf>
      <numFmt numFmtId="165" formatCode="#,##0.0000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169" formatCode="_-* #,##0.000000_-;\-* #,##0.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174" formatCode="_-* #,##0.0000_-;\-* #,##0.00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0" formatCode="dd\.mm\.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9" formatCode="_-* #,##0.000000_-;\-* #,##0.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4" formatCode="_-* #,##0.0000_-;\-* #,##0.0000_-;_-* &quot;-&quot;??_-;_-@_-"/>
      <fill>
        <patternFill patternType="none">
          <fgColor indexed="64"/>
          <bgColor indexed="65"/>
        </patternFill>
      </fill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342900</xdr:colOff>
      <xdr:row>1</xdr:row>
      <xdr:rowOff>50800</xdr:rowOff>
    </xdr:from>
    <xdr:to>
      <xdr:col>8</xdr:col>
      <xdr:colOff>495300</xdr:colOff>
      <xdr:row>7</xdr:row>
      <xdr:rowOff>152400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BD73CE7E-517B-6B49-A627-A47F518F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0" y="254000"/>
          <a:ext cx="2628900" cy="1244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111407</xdr:colOff>
      <xdr:row>6</xdr:row>
      <xdr:rowOff>103206</xdr:rowOff>
    </xdr:from>
    <xdr:to>
      <xdr:col>15</xdr:col>
      <xdr:colOff>419100</xdr:colOff>
      <xdr:row>11</xdr:row>
      <xdr:rowOff>165100</xdr:rowOff>
    </xdr:to>
    <xdr:sp macro="[0]!Makro1" textlink="">
      <xdr:nvSpPr>
        <xdr:cNvPr id="2" name="Abgerundetes Rechteck 1">
          <a:extLst>
            <a:ext uri="{FF2B5EF4-FFF2-40B4-BE49-F238E27FC236}">
              <a16:creationId xmlns:a16="http://schemas.microsoft.com/office/drawing/2014/main" id="{A8271485-E3F2-D048-A3D6-25869B6A7428}"/>
            </a:ext>
          </a:extLst>
        </xdr:cNvPr>
        <xdr:cNvSpPr/>
      </xdr:nvSpPr>
      <xdr:spPr>
        <a:xfrm>
          <a:off x="13535307" y="1805006"/>
          <a:ext cx="2911193" cy="106519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Umbenennung Short Long</a:t>
          </a:r>
        </a:p>
        <a:p>
          <a:pPr algn="l"/>
          <a:r>
            <a:rPr lang="de-DE" sz="800" baseline="0"/>
            <a:t>- Übertragung von "unbekannt" in "Fehlende Anschaffungen"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117125</xdr:colOff>
      <xdr:row>4</xdr:row>
      <xdr:rowOff>62088</xdr:rowOff>
    </xdr:from>
    <xdr:to>
      <xdr:col>11</xdr:col>
      <xdr:colOff>685800</xdr:colOff>
      <xdr:row>7</xdr:row>
      <xdr:rowOff>177800</xdr:rowOff>
    </xdr:to>
    <xdr:sp macro="[0]!Einkommensbericht" textlink="">
      <xdr:nvSpPr>
        <xdr:cNvPr id="2" name="Abgerundetes Rechteck 1">
          <a:extLst>
            <a:ext uri="{FF2B5EF4-FFF2-40B4-BE49-F238E27FC236}">
              <a16:creationId xmlns:a16="http://schemas.microsoft.com/office/drawing/2014/main" id="{FFB4421B-9E2D-7148-8CBF-131433B2A286}"/>
            </a:ext>
          </a:extLst>
        </xdr:cNvPr>
        <xdr:cNvSpPr/>
      </xdr:nvSpPr>
      <xdr:spPr>
        <a:xfrm>
          <a:off x="10150125" y="1154288"/>
          <a:ext cx="2397475" cy="86501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Makro starten: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algn="l"/>
          <a:r>
            <a:rPr lang="de-DE" sz="800" baseline="0"/>
            <a:t>- Umbenennung Zinsen in Ausgleichszahlung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Reiter grün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101601</xdr:colOff>
      <xdr:row>3</xdr:row>
      <xdr:rowOff>25400</xdr:rowOff>
    </xdr:from>
    <xdr:to>
      <xdr:col>11</xdr:col>
      <xdr:colOff>88901</xdr:colOff>
      <xdr:row>7</xdr:row>
      <xdr:rowOff>12700</xdr:rowOff>
    </xdr:to>
    <xdr:sp macro="[0]!SpendenSchenkung" textlink="">
      <xdr:nvSpPr>
        <xdr:cNvPr id="2" name="Abgerundetes Rechteck 1">
          <a:extLst>
            <a:ext uri="{FF2B5EF4-FFF2-40B4-BE49-F238E27FC236}">
              <a16:creationId xmlns:a16="http://schemas.microsoft.com/office/drawing/2014/main" id="{795FAD20-B41E-9C42-8699-BE2E407B33F1}"/>
            </a:ext>
          </a:extLst>
        </xdr:cNvPr>
        <xdr:cNvSpPr/>
      </xdr:nvSpPr>
      <xdr:spPr>
        <a:xfrm>
          <a:off x="12179301" y="876300"/>
          <a:ext cx="1790700" cy="9271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Makro starten:</a:t>
          </a:r>
          <a:endParaRPr lang="de-DE" sz="1200" baseline="0"/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Druckbereich anpassen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Reiter grün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114300</xdr:rowOff>
    </xdr:from>
    <xdr:to>
      <xdr:col>6</xdr:col>
      <xdr:colOff>1358900</xdr:colOff>
      <xdr:row>5</xdr:row>
      <xdr:rowOff>25400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4B4BEE04-6CFC-B6E7-A8F1-30D991DDCF44}"/>
            </a:ext>
          </a:extLst>
        </xdr:cNvPr>
        <xdr:cNvSpPr txBox="1"/>
      </xdr:nvSpPr>
      <xdr:spPr>
        <a:xfrm>
          <a:off x="2273300" y="114300"/>
          <a:ext cx="5613400" cy="1219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5000">
              <a:solidFill>
                <a:sysClr val="windowText" lastClr="000000"/>
              </a:solidFill>
            </a:rPr>
            <a:t>NICHT EXPORTIEREN</a:t>
          </a:r>
        </a:p>
        <a:p>
          <a:r>
            <a:rPr lang="de-DE" sz="2000">
              <a:solidFill>
                <a:sysClr val="windowText" lastClr="000000"/>
              </a:solidFill>
            </a:rPr>
            <a:t>Nur Gebühren aus CT in Zelle A8 kopieren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63500</xdr:colOff>
      <xdr:row>5</xdr:row>
      <xdr:rowOff>114300</xdr:rowOff>
    </xdr:from>
    <xdr:to>
      <xdr:col>14</xdr:col>
      <xdr:colOff>498193</xdr:colOff>
      <xdr:row>9</xdr:row>
      <xdr:rowOff>0</xdr:rowOff>
    </xdr:to>
    <xdr:sp macro="[0]!CleanAssets" textlink="">
      <xdr:nvSpPr>
        <xdr:cNvPr id="3" name="Abgerundetes Rechteck 2">
          <a:extLst>
            <a:ext uri="{FF2B5EF4-FFF2-40B4-BE49-F238E27FC236}">
              <a16:creationId xmlns:a16="http://schemas.microsoft.com/office/drawing/2014/main" id="{DF3931F6-1F17-D24B-9B55-BDA4617B8A3C}"/>
            </a:ext>
          </a:extLst>
        </xdr:cNvPr>
        <xdr:cNvSpPr/>
      </xdr:nvSpPr>
      <xdr:spPr>
        <a:xfrm>
          <a:off x="11950700" y="1574800"/>
          <a:ext cx="3736693" cy="647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600"/>
            <a:t>Klickem um Makro zu starten</a:t>
          </a:r>
          <a:endParaRPr lang="de-DE" sz="1600" baseline="0"/>
        </a:p>
        <a:p>
          <a:pPr algn="l"/>
          <a:r>
            <a:rPr lang="de-DE" sz="1000" baseline="0"/>
            <a:t>- Es werden die Positionen nach Datum zusammengeführt.</a:t>
          </a:r>
        </a:p>
        <a:p>
          <a:pPr algn="l"/>
          <a:r>
            <a:rPr lang="de-DE" sz="1000" baseline="0"/>
            <a:t>- Dauert ca. 30 Sekunden</a:t>
          </a:r>
          <a:endParaRPr lang="de-DE" sz="1000"/>
        </a:p>
      </xdr:txBody>
    </xdr:sp>
    <xdr:clientData/>
  </xdr:twoCellAnchor>
  <xdr:twoCellAnchor>
    <xdr:from>
      <xdr:col>3</xdr:col>
      <xdr:colOff>1295400</xdr:colOff>
      <xdr:row>0</xdr:row>
      <xdr:rowOff>114300</xdr:rowOff>
    </xdr:from>
    <xdr:to>
      <xdr:col>7</xdr:col>
      <xdr:colOff>1041400</xdr:colOff>
      <xdr:row>5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786CD4FD-6C53-D849-9CC1-8E04E5703639}"/>
            </a:ext>
          </a:extLst>
        </xdr:cNvPr>
        <xdr:cNvSpPr txBox="1"/>
      </xdr:nvSpPr>
      <xdr:spPr>
        <a:xfrm>
          <a:off x="4165600" y="114300"/>
          <a:ext cx="5613400" cy="1219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5000">
              <a:solidFill>
                <a:sysClr val="windowText" lastClr="000000"/>
              </a:solidFill>
            </a:rPr>
            <a:t>NICHT EXPORTIEREN</a:t>
          </a:r>
        </a:p>
        <a:p>
          <a:r>
            <a:rPr lang="de-DE" sz="2000">
              <a:solidFill>
                <a:sysClr val="windowText" lastClr="000000"/>
              </a:solidFill>
            </a:rPr>
            <a:t>Nur Bestände aus CT in Zelle A8 kopieren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35278</xdr:colOff>
      <xdr:row>3</xdr:row>
      <xdr:rowOff>97366</xdr:rowOff>
    </xdr:from>
    <xdr:to>
      <xdr:col>11</xdr:col>
      <xdr:colOff>296333</xdr:colOff>
      <xdr:row>6</xdr:row>
      <xdr:rowOff>183444</xdr:rowOff>
    </xdr:to>
    <xdr:sp macro="[0]!NichtVerkauftDatum" textlink="">
      <xdr:nvSpPr>
        <xdr:cNvPr id="2" name="Abgerundetes Rechteck 1">
          <a:extLst>
            <a:ext uri="{FF2B5EF4-FFF2-40B4-BE49-F238E27FC236}">
              <a16:creationId xmlns:a16="http://schemas.microsoft.com/office/drawing/2014/main" id="{5E41C8A4-EB46-5D45-898E-2746DE8E1A9B}"/>
            </a:ext>
          </a:extLst>
        </xdr:cNvPr>
        <xdr:cNvSpPr/>
      </xdr:nvSpPr>
      <xdr:spPr>
        <a:xfrm>
          <a:off x="8925278" y="944033"/>
          <a:ext cx="2758722" cy="89041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Druckbereich anpassen</a:t>
          </a:r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241301</xdr:colOff>
      <xdr:row>3</xdr:row>
      <xdr:rowOff>25401</xdr:rowOff>
    </xdr:from>
    <xdr:to>
      <xdr:col>12</xdr:col>
      <xdr:colOff>762000</xdr:colOff>
      <xdr:row>6</xdr:row>
      <xdr:rowOff>165100</xdr:rowOff>
    </xdr:to>
    <xdr:sp macro="[0]!NichtVerkaufteGruppiert" textlink="">
      <xdr:nvSpPr>
        <xdr:cNvPr id="6" name="Abgerundetes Rechteck 5">
          <a:extLst>
            <a:ext uri="{FF2B5EF4-FFF2-40B4-BE49-F238E27FC236}">
              <a16:creationId xmlns:a16="http://schemas.microsoft.com/office/drawing/2014/main" id="{A4170769-2465-6104-4423-6298F27FD86A}"/>
            </a:ext>
          </a:extLst>
        </xdr:cNvPr>
        <xdr:cNvSpPr/>
      </xdr:nvSpPr>
      <xdr:spPr>
        <a:xfrm>
          <a:off x="8509001" y="876301"/>
          <a:ext cx="2171699" cy="888999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/>
            <a:t>Klickem um Makro zu starten</a:t>
          </a:r>
          <a:endParaRPr lang="de-DE" sz="1200" baseline="0"/>
        </a:p>
        <a:p>
          <a:pPr algn="l"/>
          <a:r>
            <a:rPr lang="de-DE" sz="800" baseline="0"/>
            <a:t>- Druckbereich anpassen</a:t>
          </a:r>
        </a:p>
        <a:p>
          <a:pPr algn="l"/>
          <a:r>
            <a:rPr lang="de-DE" sz="800" baseline="0"/>
            <a:t>- 4 Stellen hinter Komma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800" baseline="0"/>
            <a:t>- Eurozeichen</a:t>
          </a:r>
        </a:p>
        <a:p>
          <a:pPr algn="l"/>
          <a:r>
            <a:rPr lang="de-DE" sz="800" baseline="0"/>
            <a:t>- Reiter bekommt eine grüne Farbe</a:t>
          </a:r>
          <a:endParaRPr lang="de-DE" sz="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231423</xdr:colOff>
      <xdr:row>1</xdr:row>
      <xdr:rowOff>146755</xdr:rowOff>
    </xdr:from>
    <xdr:to>
      <xdr:col>13</xdr:col>
      <xdr:colOff>366889</xdr:colOff>
      <xdr:row>6</xdr:row>
      <xdr:rowOff>98778</xdr:rowOff>
    </xdr:to>
    <xdr:sp macro="[0]!Transaktionsliste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FE43460-B536-0F43-8A36-8357924AA4F8}"/>
            </a:ext>
          </a:extLst>
        </xdr:cNvPr>
        <xdr:cNvSpPr/>
      </xdr:nvSpPr>
      <xdr:spPr>
        <a:xfrm>
          <a:off x="16557979" y="513644"/>
          <a:ext cx="1800577" cy="110913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600"/>
            <a:t>Makro starten:</a:t>
          </a:r>
          <a:endParaRPr lang="de-DE" sz="1600" baseline="0"/>
        </a:p>
        <a:p>
          <a:pPr algn="l"/>
          <a:r>
            <a:rPr lang="de-DE" sz="800" baseline="0"/>
            <a:t>- Zinsen in Ausgleichszahlungen</a:t>
          </a:r>
        </a:p>
        <a:p>
          <a:pPr algn="l"/>
          <a:r>
            <a:rPr lang="de-DE" sz="800" baseline="0"/>
            <a:t>- Euro</a:t>
          </a:r>
        </a:p>
        <a:p>
          <a:pPr algn="l"/>
          <a:r>
            <a:rPr lang="de-DE" sz="800" baseline="0"/>
            <a:t>- Formatierung</a:t>
          </a:r>
        </a:p>
        <a:p>
          <a:pPr algn="l"/>
          <a:r>
            <a:rPr lang="de-DE" sz="800" baseline="0"/>
            <a:t>- Datum von neu nach alt sortieren</a:t>
          </a:r>
        </a:p>
        <a:p>
          <a:pPr algn="l"/>
          <a:r>
            <a:rPr lang="de-DE" sz="800" baseline="0"/>
            <a:t>- Reiter grün</a:t>
          </a:r>
        </a:p>
      </xdr:txBody>
    </xdr:sp>
    <xdr:clientData/>
  </xdr:twoCellAnchor>
  <xdr:twoCellAnchor>
    <xdr:from>
      <xdr:col>13</xdr:col>
      <xdr:colOff>452966</xdr:colOff>
      <xdr:row>0</xdr:row>
      <xdr:rowOff>15523</xdr:rowOff>
    </xdr:from>
    <xdr:to>
      <xdr:col>19</xdr:col>
      <xdr:colOff>818445</xdr:colOff>
      <xdr:row>6</xdr:row>
      <xdr:rowOff>127000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D23F1EC4-49EE-2940-BF3B-A8D002178AE4}"/>
            </a:ext>
          </a:extLst>
        </xdr:cNvPr>
        <xdr:cNvSpPr txBox="1"/>
      </xdr:nvSpPr>
      <xdr:spPr>
        <a:xfrm>
          <a:off x="18444633" y="15523"/>
          <a:ext cx="5360812" cy="163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Cointracking in Trade Liste -&gt; „Zur Vollansicht wechseln“ -&gt; Spalten Verwalten -&gt; </a:t>
          </a:r>
        </a:p>
        <a:p>
          <a:r>
            <a:rPr lang="de-DE" sz="1100"/>
            <a:t>Aktivieren: 4.</a:t>
          </a:r>
          <a:r>
            <a:rPr lang="de-DE" sz="1100" baseline="0"/>
            <a:t> und</a:t>
          </a:r>
          <a:r>
            <a:rPr lang="de-DE" sz="1100"/>
            <a:t> 8. </a:t>
          </a:r>
        </a:p>
        <a:p>
          <a:r>
            <a:rPr lang="de-DE" sz="1100"/>
            <a:t>Deaktivieren:</a:t>
          </a:r>
          <a:r>
            <a:rPr lang="de-DE" sz="1100" baseline="0"/>
            <a:t> </a:t>
          </a:r>
          <a:r>
            <a:rPr lang="de-DE" sz="1100"/>
            <a:t>15. und 20.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de-DE" sz="1100"/>
          </a:br>
          <a:r>
            <a:rPr lang="de-DE" sz="1100"/>
            <a:t>REGEX</a:t>
          </a:r>
          <a:r>
            <a:rPr lang="de-DE" sz="1100" baseline="0"/>
            <a:t> für Datum: </a:t>
          </a: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(.2012|.2013|.2014|.2015|.2016|.2017|.2018|.2019|.2020|.2021|.2020|.2021)</a:t>
          </a:r>
        </a:p>
        <a:p>
          <a:endParaRPr lang="de-DE" sz="1100"/>
        </a:p>
        <a:p>
          <a:r>
            <a:rPr lang="de-DE" sz="1100"/>
            <a:t>Download als Excel und von dort die Daten kopieren.</a:t>
          </a:r>
        </a:p>
        <a:p>
          <a:r>
            <a:rPr lang="de-DE" sz="1100"/>
            <a:t>Kommentare wie "offen" löschen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h@pekuna.de" id="{707EF00E-11DC-8A4D-95E9-46FA2D5A3D40}" userId="7752644b44f52abf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h@pekuna.de" refreshedDate="44568.70379699074" createdVersion="7" refreshedVersion="7" minRefreshableVersion="3" recordCount="1" xr:uid="{B58555B6-8F15-9E4C-8B7C-0B02E4F2E77A}">
  <cacheSource type="worksheet">
    <worksheetSource name="Table2"/>
  </cacheSource>
  <cacheFields count="11">
    <cacheField name="Anzahl" numFmtId="169">
      <sharedItems containsNonDate="0" containsString="0" containsBlank="1"/>
    </cacheField>
    <cacheField name="Währung" numFmtId="0">
      <sharedItems containsNonDate="0" containsString="0" containsBlank="1"/>
    </cacheField>
    <cacheField name="Erwerbsdatum" numFmtId="14">
      <sharedItems containsNonDate="0" containsString="0" containsBlank="1"/>
    </cacheField>
    <cacheField name="Verkaufsdatum" numFmtId="14">
      <sharedItems containsNonDate="0" containsString="0" containsBlank="1"/>
    </cacheField>
    <cacheField name="Haltefrist" numFmtId="0">
      <sharedItems containsNonDate="0" containsString="0" containsBlank="1"/>
    </cacheField>
    <cacheField name="Kauf /Eingang bei" numFmtId="0">
      <sharedItems containsNonDate="0" containsString="0" containsBlank="1" count="1">
        <m/>
      </sharedItems>
    </cacheField>
    <cacheField name="Verkauf /Ausgang bei" numFmtId="0">
      <sharedItems containsNonDate="0" containsString="0" containsBlank="1"/>
    </cacheField>
    <cacheField name="Typ" numFmtId="0">
      <sharedItems containsNonDate="0" containsString="0" containsBlank="1"/>
    </cacheField>
    <cacheField name="Kostenbasis in EUR" numFmtId="44">
      <sharedItems containsNonDate="0" containsString="0" containsBlank="1"/>
    </cacheField>
    <cacheField name="Erlös in EUR" numFmtId="44">
      <sharedItems containsNonDate="0" containsString="0" containsBlank="1"/>
    </cacheField>
    <cacheField name="Gewinn in EUR" numFmtId="4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15AE32-A5B3-EC4F-B238-83C68080C6A8}" name="PivotTable1" cacheId="17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A5" firstHeaderRow="1" firstDataRow="1" firstDataCol="1"/>
  <pivotFields count="11"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5"/>
  </rowFields>
  <rowItems count="2">
    <i>
      <x/>
    </i>
    <i t="grand">
      <x/>
    </i>
  </rowItems>
  <colItems count="1">
    <i/>
  </colItem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42C5B3-E768-C24F-957F-7AA66CC8640D}" name="Table2" displayName="Table2" ref="A7:K8" totalsRowShown="0" dataDxfId="65" tableBorderDxfId="64" dataCellStyle="Währung 2">
  <autoFilter ref="A7:K8" xr:uid="{9242C5B3-E768-C24F-957F-7AA66CC8640D}"/>
  <tableColumns count="11">
    <tableColumn id="1" xr3:uid="{DCB9DEF8-B2C4-2F4C-974E-1FE1DA9E34C6}" name="Anzahl" dataDxfId="63"/>
    <tableColumn id="2" xr3:uid="{9AE32F58-6689-3043-9D72-7AC1946C0AC6}" name="Währung" dataDxfId="62"/>
    <tableColumn id="3" xr3:uid="{6F256B27-D553-E146-99DE-3FBE6C58A68B}" name="Erwerbsdatum" dataDxfId="61"/>
    <tableColumn id="4" xr3:uid="{CC9F138D-4C16-E34A-8777-B73805129E49}" name="Verkaufsdatum" dataDxfId="60"/>
    <tableColumn id="5" xr3:uid="{D9043D5C-51F4-FD4B-9CA8-D3AEB8B49BFA}" name="Haltefrist"/>
    <tableColumn id="6" xr3:uid="{8882967D-7A90-F641-B798-9FD1EE4707A9}" name="Kauf /Eingang bei"/>
    <tableColumn id="7" xr3:uid="{8447E59A-6D37-3B4C-BF31-07EF766BEC5E}" name="Verkauf /Ausgang bei"/>
    <tableColumn id="8" xr3:uid="{B925357B-06F3-E342-A78C-5BD50D0EDD85}" name="Typ" dataDxfId="59"/>
    <tableColumn id="9" xr3:uid="{3212EFA9-D091-AD40-A6FE-BF1D5628074D}" name="Kostenbasis in EUR" dataDxfId="58"/>
    <tableColumn id="10" xr3:uid="{CE035119-FFFB-6340-8174-82D7979272B5}" name="Erlös in EUR" dataDxfId="57"/>
    <tableColumn id="11" xr3:uid="{9FDCAA10-1C0A-6741-B21D-B357C1B2494D}" name="Gewinn in EUR" dataDxfId="5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B393D51-6D92-7842-835E-0B1C9853A4EF}" name="Table21" displayName="Table21" ref="A7:K8" totalsRowShown="0" dataDxfId="55" dataCellStyle="Währung 2">
  <tableColumns count="11">
    <tableColumn id="1" xr3:uid="{A86C7A5C-07DE-9E45-AE72-C799BFB2D05A}" name="Anzahl" dataDxfId="54" dataCellStyle="Komma 2"/>
    <tableColumn id="2" xr3:uid="{408E0170-7F46-7D4D-B34E-0BB68334CBA5}" name="Währung"/>
    <tableColumn id="3" xr3:uid="{43C72682-3461-A244-98EE-65B41D7883A1}" name="Erwerbsdatum" dataDxfId="53"/>
    <tableColumn id="4" xr3:uid="{5B0F1C35-FE15-D64A-8F86-414158E3B452}" name="Verkaufsdatum" dataDxfId="52"/>
    <tableColumn id="5" xr3:uid="{044E46F5-40D3-804E-B651-9C2C50211563}" name="Haltefrist" dataDxfId="51"/>
    <tableColumn id="6" xr3:uid="{86326475-1A50-3346-91DB-217207F1D17A}" name="Kauf /Eingang bei"/>
    <tableColumn id="7" xr3:uid="{FFD9357C-14E8-FB40-BD46-EBFBC7CE0AF9}" name="Verkauf /Ausgang bei"/>
    <tableColumn id="8" xr3:uid="{EE4E10C0-8140-FD41-9AA9-A1494DB53BC8}" name="Typ"/>
    <tableColumn id="9" xr3:uid="{430CB4F5-D12F-794F-8B15-3E1689673530}" name="Kostenbasis in EUR" dataDxfId="50" dataCellStyle="Währung 2"/>
    <tableColumn id="10" xr3:uid="{C7FF5C8C-1685-3E42-995A-A187E3C4CC47}" name="Erlös in EUR" dataDxfId="49" dataCellStyle="Währung 2"/>
    <tableColumn id="11" xr3:uid="{A4148748-429A-AA45-B26C-50E1334BC046}" name="Gewinn in EUR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4C840A4-003D-F94F-8075-49BA51AC2D9F}" name="Table18" displayName="Table18" ref="A7:H8" totalsRowShown="0">
  <autoFilter ref="A7:H8" xr:uid="{04C840A4-003D-F94F-8075-49BA51AC2D9F}"/>
  <tableColumns count="8">
    <tableColumn id="1" xr3:uid="{09E95516-0C45-364F-970D-C39F083260B5}" name="Zuflussdatum" dataDxfId="47"/>
    <tableColumn id="2" xr3:uid="{91E0D828-D6DF-F348-81D2-82432D8BC2CD}" name="Anzahl" dataDxfId="46"/>
    <tableColumn id="3" xr3:uid="{335A67B3-1C31-9642-A30A-B3926D91AC42}" name="Währung"/>
    <tableColumn id="4" xr3:uid="{E50E11DD-1D9B-034D-8854-EF998F0F6BDC}" name="Art"/>
    <tableColumn id="5" xr3:uid="{E9C243A3-51D7-E840-B7A9-8B545BD4246F}" name="Kauf /Eingang bei"/>
    <tableColumn id="6" xr3:uid="{D3DF8CF4-3E87-1142-813B-2AD826680E42}" name="Kommentar"/>
    <tableColumn id="7" xr3:uid="{D19F2619-8BC0-114D-B292-6F8AAF171DE2}" name="Wert im Zeitpunkt des Eingangs"/>
    <tableColumn id="9" xr3:uid="{F395C28E-674E-D742-8CD1-6F2842578927}" name="Typ" dataDxfId="45">
      <calculatedColumnFormula>IF(Table18[[#This Row],[Art]]="Airdrop","steuerfrei",IF(Table18[[#This Row],[Art]]="Geschenk / Trinkgeld","steuerfrei",IF(Table18[[#This Row],[Art]]="Einnahme (steuerfrei)","steuerfrei",IF(Table18[[#This Row],[Art]]="Einnahme","steuerpflichtig","steuerpflichtig"))))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29E5720-7976-A642-A7C5-9FB41675066A}" name="Table24" displayName="Table24" ref="A7:H8" insertRow="1" totalsRowShown="0" headerRowDxfId="44">
  <tableColumns count="8">
    <tableColumn id="1" xr3:uid="{FB9D5838-DD4D-6144-8961-9FDD11C32D75}" name="Zuflussdatum" dataDxfId="43"/>
    <tableColumn id="2" xr3:uid="{886BE828-860A-D94B-9C29-A3735492F1BE}" name="Anzahl" dataDxfId="42"/>
    <tableColumn id="3" xr3:uid="{8F4F091A-58D9-CF41-9512-F6439E2769BC}" name="Währung"/>
    <tableColumn id="4" xr3:uid="{4E599025-26CE-B74E-ACAE-9A072A82DB3E}" name="Art" dataDxfId="41"/>
    <tableColumn id="5" xr3:uid="{7A3D5885-BD9D-2542-B448-09A11791C5F7}" name="Ausgang bei"/>
    <tableColumn id="6" xr3:uid="{84AF7599-7DCC-2644-ADE7-7948578FFF48}" name="Kommentar" dataDxfId="40"/>
    <tableColumn id="8" xr3:uid="{10313D69-808B-8543-AFD5-C0BFA5996A38}" name="Anschaffungskosten"/>
    <tableColumn id="9" xr3:uid="{B0CBFF17-1637-4542-884C-47F1F00876F2}" name="Wert bei Schenkung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FB7839-B41D-0A43-8044-1B7B2542F129}" name="Table26" displayName="Table26" ref="A7:H8" totalsRowShown="0">
  <autoFilter ref="A7:H8" xr:uid="{9242C5B3-E768-C24F-957F-7AA66CC8640D}"/>
  <tableColumns count="8">
    <tableColumn id="1" xr3:uid="{7E4525D1-BABC-844F-AD2F-5FED394D5A99}" name="Datum der Gebühr" dataDxfId="39"/>
    <tableColumn id="2" xr3:uid="{57F8E404-B8BC-4741-870D-A71BDBDFD49A}" name="Anzahl" dataDxfId="38"/>
    <tableColumn id="3" xr3:uid="{F8C80D6C-5346-2A4C-8BCA-9D4345746F86}" name="Währung" dataDxfId="37"/>
    <tableColumn id="4" xr3:uid="{047C089A-0F60-3144-9798-68E95ED32325}" name="Typ" dataDxfId="36"/>
    <tableColumn id="5" xr3:uid="{A77D4F08-1661-F64B-98A1-5EE5A5360587}" name="Transaktion bei"/>
    <tableColumn id="6" xr3:uid="{7D084BA0-36A0-CD4D-8ACE-CCC837D63510}" name="Kostenbasis Berechnung"/>
    <tableColumn id="7" xr3:uid="{CD9848C1-BBCE-7A47-B0D2-90A55F50219B}" name="Kostenbasis in EUR"/>
    <tableColumn id="8" xr3:uid="{46DF7D51-F724-EB4A-A5D8-6E93BBA3D98B}" name="Wert bei Transaktion in EUR" dataDxfId="35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2BFDBB-D26B-C54F-B336-37CD3999D600}" name="Table242" displayName="Table242" ref="A7:H8" totalsRowShown="0" headerRowDxfId="34">
  <tableColumns count="8">
    <tableColumn id="1" xr3:uid="{24A48497-B4D1-9249-AED7-C9E48EC58E5E}" name="Verlustdatum" dataDxfId="33"/>
    <tableColumn id="2" xr3:uid="{F488A687-C958-3445-A36B-6721FF727BDE}" name="Anzahl"/>
    <tableColumn id="3" xr3:uid="{6292482A-99DA-084B-959F-7DDB990CA7D7}" name="Währung"/>
    <tableColumn id="4" xr3:uid="{9640EDD2-1228-5B4D-B46A-0E92D6F63CAC}" name="Art" dataDxfId="32"/>
    <tableColumn id="5" xr3:uid="{C22F8682-0398-1E4E-B125-500E52B20AFE}" name="Kauf /Eingang bei"/>
    <tableColumn id="6" xr3:uid="{5A2CDD86-2419-CD48-9FB4-56A8B6628BE9}" name="Kostenbasis Berechnung" dataDxfId="31"/>
    <tableColumn id="8" xr3:uid="{560FE302-8F4A-C544-A7D2-36AF37EEDE54}" name="Kostenbasis"/>
    <tableColumn id="9" xr3:uid="{75450380-87F3-294F-89E0-04BC79ECD1AE}" name="Wert bei Verlust in EUR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990728-2937-7843-B3D2-0AA960F96698}" name="Table11" displayName="Table11" ref="A7:I8" insertRow="1" totalsRowShown="0" headerRowDxfId="30" dataDxfId="29" headerRowCellStyle="Währung 2">
  <autoFilter ref="A7:I8" xr:uid="{27990728-2937-7843-B3D2-0AA960F96698}"/>
  <tableColumns count="9">
    <tableColumn id="1" xr3:uid="{01C82F71-E550-A540-B011-098F87CC1E38}" name="Anzahl" dataDxfId="28"/>
    <tableColumn id="2" xr3:uid="{C133C70D-3426-5F41-835C-5664BD236975}" name="Währung"/>
    <tableColumn id="3" xr3:uid="{3BC46163-9411-B44D-B43A-99E07DD184DD}" name="Erwerbsdatum" dataDxfId="27"/>
    <tableColumn id="4" xr3:uid="{585E7716-9396-A14D-B209-A0B2A29275DC}" name="Kauf/Eingang bei"/>
    <tableColumn id="5" xr3:uid="{53899920-C7D5-994B-BB10-E8043AEFA496}" name="Kaufpreis in EUR" dataDxfId="26"/>
    <tableColumn id="6" xr3:uid="{C85B141F-0C1F-124F-BC85-7DB3BD092CDA}" name="Kurs zum Jahresende in EUR" dataDxfId="25"/>
    <tableColumn id="7" xr3:uid="{9A1F2CD9-1B1E-C847-8B06-6EA8CC7C3FCE}" name="Kostenbasis in EUR" dataDxfId="24"/>
    <tableColumn id="8" xr3:uid="{D87328DD-D878-7540-AF0E-F3C114602625}" name="Jahres End Wert in EUR" dataDxfId="23"/>
    <tableColumn id="9" xr3:uid="{A86C1FDA-359F-2243-9190-00CEA171B5F3}" name="Gewinn/Verlust in EUR" dataDxfId="2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D1F0EC-E0F8-3C4A-9718-C25169718E0C}" name="Table117" displayName="Table117" ref="A7:G8" totalsRowShown="0" headerRowDxfId="21" headerRowCellStyle="Währung 2">
  <autoFilter ref="A7:G8" xr:uid="{44D1F0EC-E0F8-3C4A-9718-C25169718E0C}"/>
  <tableColumns count="7">
    <tableColumn id="1" xr3:uid="{687A365D-22D7-4F44-807A-D3E0972D7CBF}" name="Anzahl"/>
    <tableColumn id="2" xr3:uid="{2D655263-32EB-024E-8F4E-B5ECCC72346A}" name="Währung"/>
    <tableColumn id="3" xr3:uid="{6B337287-E7A8-8D4D-8EFD-2B1B8BF2761A}" name="Erwerbsdatum" dataDxfId="0"/>
    <tableColumn id="4" xr3:uid="{BD025A1B-93E9-264C-A0A7-CAB7FC21A72D}" name="Kauf/Eingang bei"/>
    <tableColumn id="5" xr3:uid="{408D3768-C70C-0E47-84E8-881511902848}" name="Kaufpreis in EUR"/>
    <tableColumn id="6" xr3:uid="{21130E5B-384D-6746-8EBA-B43FFF4F8089}" name="Kurs zum Jahresende in EUR"/>
    <tableColumn id="7" xr3:uid="{8FB2F4C8-E3E3-0447-9B10-7F64297F1446}" name="Kostenbasis in EUR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ABE5A8-9B59-6141-B714-5CFBFECAB123}" name="Table115" displayName="Table115" ref="A7:I8" totalsRowShown="0" headerRowDxfId="20" dataDxfId="19">
  <tableColumns count="9">
    <tableColumn id="1" xr3:uid="{1AA5D46D-378B-854E-8D20-8453AF28C574}" name="Anzahl" dataDxfId="18"/>
    <tableColumn id="2" xr3:uid="{D3DE88BB-F23D-A84B-A5A2-A024995C1EE5}" name="Währung"/>
    <tableColumn id="4" xr3:uid="{5E13887A-9C1C-9C49-B3B0-48FB374EB272}" name=" "/>
    <tableColumn id="3" xr3:uid="{D9CBB5E3-D649-C846-9487-FEC207E79831}" name="  "/>
    <tableColumn id="5" xr3:uid="{1F261B95-BD29-C54C-B404-474245C01F3A}" name="Kaufpreis in EUR" dataDxfId="17"/>
    <tableColumn id="6" xr3:uid="{275DB658-F8E9-7245-ADA2-AA0AF9CB1805}" name="   " dataDxfId="16"/>
    <tableColumn id="7" xr3:uid="{1181FEAC-E969-784F-82B8-F6C5089D4DAC}" name="Kostenbasis in EUR" dataDxfId="15"/>
    <tableColumn id="8" xr3:uid="{30A30B70-D3A6-A44C-A259-F51159F19CAC}" name="Jahres End Wert in EUR" dataDxfId="14"/>
    <tableColumn id="9" xr3:uid="{FB0E74F7-C103-4247-9AAB-626B1E86CBBC}" name="Gewinn/Verlust in EUR" dataDxfId="1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79DC79-2A34-C746-AFA7-8FDE44AA3F4D}" name="Table10" displayName="Table10" ref="A7:K8" insertRow="1" totalsRowShown="0" dataDxfId="12">
  <tableColumns count="11">
    <tableColumn id="1" xr3:uid="{74C73E27-06CD-A74F-854D-EA4D4D64CB80}" name="Anzahl" dataDxfId="11"/>
    <tableColumn id="2" xr3:uid="{6D77ED67-583D-C54A-87AE-B85F7739AD5D}" name="Währung"/>
    <tableColumn id="3" xr3:uid="{F0BFA531-4D7C-A348-8FAC-DFDB3BD61948}" name="Erwerbsdatum" dataDxfId="10"/>
    <tableColumn id="4" xr3:uid="{36378272-5AB2-2D4D-8235-5649C2C5C2BD}" name="Verkaufsdatum" dataDxfId="9"/>
    <tableColumn id="11" xr3:uid="{54253F92-1CB2-574D-89A3-29CFBF000682}" name=" " dataDxfId="8"/>
    <tableColumn id="5" xr3:uid="{8DD24DCE-B04B-3D42-8CD3-437834C7F425}" name="Kauf /Eingang bei"/>
    <tableColumn id="6" xr3:uid="{04592670-FE8A-2042-9BCE-2D97A50A205B}" name="Verkauf /Ausgang bei"/>
    <tableColumn id="7" xr3:uid="{A6ED92A5-BBB7-574F-8E2D-34B2ABBE923B}" name="Typ" dataDxfId="7"/>
    <tableColumn id="8" xr3:uid="{12ADE761-96E0-BD44-82FB-FC2A69937771}" name="Kostenbasis in EUR" dataDxfId="6"/>
    <tableColumn id="9" xr3:uid="{CC8869CD-6B62-3B4A-9D99-291538EF8905}" name="Erlös in EUR" dataDxfId="5"/>
    <tableColumn id="10" xr3:uid="{D5BD0D87-A8DC-E043-ADCA-8C00E6C4D690}" name="Gewinn in EUR" dataDxfId="4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37F332-DFFE-1B4E-8B00-564E973F2726}" name="Tabelle3" displayName="Tabelle3" ref="A7:K8" totalsRowShown="0" headerRowDxfId="3">
  <autoFilter ref="A7:K8" xr:uid="{A437F332-DFFE-1B4E-8B00-564E973F2726}"/>
  <sortState xmlns:xlrd2="http://schemas.microsoft.com/office/spreadsheetml/2017/richdata2" ref="A8:K8">
    <sortCondition descending="1" ref="K7:K8"/>
  </sortState>
  <tableColumns count="11">
    <tableColumn id="1" xr3:uid="{101BBB1B-24DD-7E4F-9E0E-74A2EEDABA7D}" name="Typ"/>
    <tableColumn id="2" xr3:uid="{6472F677-0B14-9C4D-A84C-77539D805688}" name="Kauf" dataDxfId="2"/>
    <tableColumn id="3" xr3:uid="{7240C78C-A777-7844-B521-17694D41B05B}" name="Währung"/>
    <tableColumn id="4" xr3:uid="{4355932F-A184-2E4E-8CBF-4D6CBED39BB6}" name="  Wert in EUR  "/>
    <tableColumn id="5" xr3:uid="{F0F0FFF8-37F2-8E48-8B33-12C30FB8BC5F}" name="Verkauf" dataDxfId="1"/>
    <tableColumn id="6" xr3:uid="{DBA57ECC-1A26-FB46-95D1-57B68CBBFAA9}" name="Währung "/>
    <tableColumn id="7" xr3:uid="{31AD4778-0012-0A4B-89AF-58E9B42F0238}" name="  Wert in EUR "/>
    <tableColumn id="8" xr3:uid="{CC4FEA04-29C9-4148-93A2-3A1C34873B88}" name="  Börse  "/>
    <tableColumn id="9" xr3:uid="{5284BA27-9078-074C-82D6-9A14EFA6EAC6}" name="  Gruppe  "/>
    <tableColumn id="10" xr3:uid="{114CC361-AC47-5945-A6A4-21BBA055DDB1}" name="Kommentar"/>
    <tableColumn id="11" xr3:uid="{EC1EAA96-4A64-144A-9834-379BB204A78F}" name="  Datum  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1-04-23T08:22:12.38" personId="{707EF00E-11DC-8A4D-95E9-46FA2D5A3D40}" id="{535C5C26-40BA-5B44-8491-7312ED3A5B3B}">
    <text>Download des Kapitalertragsberichts per Excel. Zusammenfassung pro Jahr hier rein kopieren.</text>
  </threadedComment>
  <threadedComment ref="L1" dT="2021-04-23T08:23:35.32" personId="{707EF00E-11DC-8A4D-95E9-46FA2D5A3D40}" id="{1C9C4CE0-5213-A449-BB8F-43182B882C1A}" parentId="{535C5C26-40BA-5B44-8491-7312ED3A5B3B}">
    <text>Zahlen vergleichen mit unseren eigenen Berechnungen aus Blatt „Kapitalertragsbericht“</text>
  </threadedComment>
  <threadedComment ref="L1" dT="2021-04-29T11:51:54.75" personId="{707EF00E-11DC-8A4D-95E9-46FA2D5A3D40}" id="{9B04A485-868D-AE4C-AD08-F94F6C73D1E8}" parentId="{535C5C26-40BA-5B44-8491-7312ED3A5B3B}">
    <text>Die Zahl Short letzte Spalte wird dann als Trading Gewinn in das Gutachten übernommen, sowie die Werte für Margin Trading.</text>
  </threadedComment>
  <threadedComment ref="L1" dT="2021-09-27T12:38:27.84" personId="{707EF00E-11DC-8A4D-95E9-46FA2D5A3D40}" id="{1CDF5B24-CFBB-B04C-B21C-BC6E2BD6E43A}" parentId="{535C5C26-40BA-5B44-8491-7312ED3A5B3B}">
    <text>Muss nicht formatiert oder aufgeräumt werden. Diese Seite geht nicht an den Kunden.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1-04-23T08:47:08.63" personId="{707EF00E-11DC-8A4D-95E9-46FA2D5A3D40}" id="{098C1D89-C8D3-7842-8E33-F31632139186}">
    <text>Aus Cointracking, Kapitalertragsbericht, gefiltert nach „Warnungen anzeigen“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1-04-23T08:26:30.71" personId="{707EF00E-11DC-8A4D-95E9-46FA2D5A3D40}" id="{E5ACAD73-572E-4344-923C-041525153F4B}">
    <text>Export als Excel, andernfalls ist die Formatierung falsch.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1" dT="2021-04-23T08:26:30.71" personId="{707EF00E-11DC-8A4D-95E9-46FA2D5A3D40}" id="{042605B4-4D82-8445-BE9A-38700071CE4A}">
    <text>Export als Excel, andernfalls ist die Formatierung falsch.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K1" dT="2021-04-23T08:31:56.01" personId="{707EF00E-11DC-8A4D-95E9-46FA2D5A3D40}" id="{9F0EBFA7-A492-624E-8488-91FA877DCCD3}">
    <text>Teil des Kapitalertragsberichtes. Von dort Löschen und hier gesondert aufführen. 
Spalte mit Haltefrist löschen. Summen berechnen. Fußzeile aus Kopierelemente verwenden.</text>
  </threadedComment>
  <threadedComment ref="K1" dT="2021-04-29T11:55:51.93" personId="{707EF00E-11DC-8A4D-95E9-46FA2D5A3D40}" id="{A7220B8F-AB3A-5C45-B22D-57E1A4E3E1C3}" parentId="{9F0EBFA7-A492-624E-8488-91FA877DCCD3}">
    <text>Alle Einträge die in Cointracking als „margin … „ aufgeführt sind müssen aus dem Kapitalertragsbericht gelöscht werden und hier gesondert aufgeführt werden.</text>
  </threadedComment>
  <threadedComment ref="K1" dT="2021-04-29T11:56:37.99" personId="{707EF00E-11DC-8A4D-95E9-46FA2D5A3D40}" id="{093D102F-22AF-7E47-A10E-94F990540AFA}" parentId="{9F0EBFA7-A492-624E-8488-91FA877DCCD3}">
    <text>Summen aus Kopierelemente verwenden.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4EBFC-7DDC-C241-9D1A-00F6DB17E58D}">
  <sheetPr codeName="Tabelle1"/>
  <dimension ref="A1:AH39"/>
  <sheetViews>
    <sheetView topLeftCell="A2" zoomScale="140" zoomScaleNormal="140" workbookViewId="0">
      <selection activeCell="A21" sqref="A21"/>
    </sheetView>
  </sheetViews>
  <sheetFormatPr baseColWidth="10" defaultRowHeight="15" x14ac:dyDescent="0.2"/>
  <cols>
    <col min="1" max="1" width="24.33203125" customWidth="1"/>
    <col min="2" max="2" width="39.1640625" customWidth="1"/>
    <col min="3" max="3" width="13.1640625" customWidth="1"/>
    <col min="21" max="21" width="14.1640625" customWidth="1"/>
  </cols>
  <sheetData>
    <row r="1" spans="1:34" x14ac:dyDescent="0.2"/>
    <row r="2" spans="1:34" s="4" customFormat="1" x14ac:dyDescent="0.2"/>
    <row r="3" spans="1:34" s="4" customFormat="1" x14ac:dyDescent="0.2"/>
    <row r="4" spans="1:34" s="4" customFormat="1" ht="29" x14ac:dyDescent="0.35">
      <c r="A4" s="3">
        <v>2021</v>
      </c>
      <c r="D4" s="1"/>
      <c r="I4" s="1"/>
      <c r="N4" s="1"/>
      <c r="S4" s="1"/>
      <c r="X4" s="1"/>
      <c r="AC4" s="1"/>
      <c r="AH4" s="1"/>
    </row>
    <row r="5" spans="1:34" s="4" customFormat="1" x14ac:dyDescent="0.2"/>
    <row r="6" spans="1:34" s="4" customFormat="1" ht="16" x14ac:dyDescent="0.2">
      <c r="A6" s="43"/>
      <c r="B6" s="13"/>
      <c r="C6" s="13"/>
      <c r="D6" s="13"/>
    </row>
    <row r="7" spans="1:34" s="4" customFormat="1" ht="16" x14ac:dyDescent="0.2">
      <c r="A7" s="13" t="s">
        <v>52</v>
      </c>
      <c r="B7" s="13"/>
      <c r="C7" s="13"/>
      <c r="D7" s="13"/>
    </row>
    <row r="8" spans="1:34" s="4" customFormat="1" ht="16" x14ac:dyDescent="0.2">
      <c r="A8" s="43"/>
      <c r="B8" s="13"/>
      <c r="C8" s="13"/>
      <c r="D8" s="13"/>
      <c r="S8" s="1"/>
      <c r="AC8" s="1"/>
      <c r="AH8" s="1"/>
    </row>
    <row r="9" spans="1:34" ht="17" thickBot="1" x14ac:dyDescent="0.25">
      <c r="B9" s="13"/>
      <c r="C9" s="13"/>
      <c r="D9" s="13"/>
      <c r="Z9" s="1"/>
      <c r="AA9" s="1"/>
      <c r="AB9" s="1"/>
      <c r="AC9" s="1"/>
    </row>
    <row r="10" spans="1:34" ht="46" thickBot="1" x14ac:dyDescent="0.25">
      <c r="A10" s="50" t="s">
        <v>53</v>
      </c>
      <c r="B10" s="51" t="s">
        <v>54</v>
      </c>
      <c r="C10" s="52" t="s">
        <v>55</v>
      </c>
      <c r="D10" s="13"/>
      <c r="Z10" s="1"/>
      <c r="AA10" s="1"/>
      <c r="AB10" s="1"/>
      <c r="AC10" s="1"/>
    </row>
    <row r="11" spans="1:34" ht="51" x14ac:dyDescent="0.2">
      <c r="A11" s="133">
        <f>A4</f>
        <v>2021</v>
      </c>
      <c r="B11" s="53" t="s">
        <v>56</v>
      </c>
      <c r="C11" s="135">
        <f>'Kapitalertragsbericht - Verkäuf'!K14</f>
        <v>0</v>
      </c>
      <c r="D11" s="13"/>
      <c r="F11" s="4" t="s">
        <v>58</v>
      </c>
    </row>
    <row r="12" spans="1:34" ht="17" thickBot="1" x14ac:dyDescent="0.25">
      <c r="A12" s="134"/>
      <c r="B12" s="54" t="str">
        <f>"Einzutragen in Zeile "&amp;IF(A4=2020,42,41)&amp;" und "&amp;IF(A4=2020,47,46)&amp;", Anlage SO "&amp;(A4)&amp;""</f>
        <v>Einzutragen in Zeile 41 und 46, Anlage SO 2021</v>
      </c>
      <c r="C12" s="136"/>
      <c r="D12" s="13"/>
    </row>
    <row r="13" spans="1:34" ht="17" x14ac:dyDescent="0.2">
      <c r="A13" s="131">
        <f>A4</f>
        <v>2021</v>
      </c>
      <c r="B13" s="53" t="s">
        <v>60</v>
      </c>
      <c r="C13" s="132">
        <f>Einkommensbericht!G14</f>
        <v>0</v>
      </c>
      <c r="E13" s="4"/>
      <c r="F13" s="4" t="s">
        <v>70</v>
      </c>
    </row>
    <row r="14" spans="1:34" ht="16" thickBot="1" x14ac:dyDescent="0.25">
      <c r="A14" s="128"/>
      <c r="B14" s="55" t="str">
        <f>"Einzutragen in Zeile "&amp;IF(OR(A4=2020,A4=2019),10,8)&amp;" und 12, Anlage SO "&amp;(A4)&amp;""</f>
        <v>Einzutragen in Zeile 8 und 12, Anlage SO 2021</v>
      </c>
      <c r="C14" s="130"/>
    </row>
    <row r="16" spans="1:34" ht="16" thickBot="1" x14ac:dyDescent="0.25"/>
    <row r="17" spans="1:7" ht="34" x14ac:dyDescent="0.2">
      <c r="A17" s="127">
        <f>A4</f>
        <v>2021</v>
      </c>
      <c r="B17" s="56" t="s">
        <v>57</v>
      </c>
      <c r="C17" s="129">
        <f>Termingeschäfte!K1</f>
        <v>0</v>
      </c>
      <c r="D17" s="13"/>
      <c r="F17" s="4" t="s">
        <v>59</v>
      </c>
      <c r="G17" s="4" t="s">
        <v>64</v>
      </c>
    </row>
    <row r="18" spans="1:7" ht="27" thickBot="1" x14ac:dyDescent="0.25">
      <c r="A18" s="128"/>
      <c r="B18" s="55" t="str">
        <f>"Einzutragen in Zeile "&amp;IF(A4=2020,19,15)&amp;", Anlage KAP "&amp;(A4)&amp;" (ausländische Kapitalerträge)"</f>
        <v>Einzutragen in Zeile 15, Anlage KAP 2021 (ausländische Kapitalerträge)</v>
      </c>
      <c r="C18" s="130"/>
      <c r="D18" s="15"/>
    </row>
    <row r="19" spans="1:7" ht="34" x14ac:dyDescent="0.2">
      <c r="A19" s="127">
        <f>A17</f>
        <v>2021</v>
      </c>
      <c r="B19" s="56" t="s">
        <v>85</v>
      </c>
      <c r="C19" s="129">
        <f>Termingeschäfte!K11</f>
        <v>0</v>
      </c>
    </row>
    <row r="20" spans="1:7" ht="16" thickBot="1" x14ac:dyDescent="0.25">
      <c r="A20" s="128"/>
      <c r="B20" s="55" t="s">
        <v>86</v>
      </c>
      <c r="C20" s="130"/>
    </row>
    <row r="21" spans="1:7" ht="16" x14ac:dyDescent="0.2">
      <c r="A21" s="49"/>
      <c r="B21" s="49"/>
      <c r="C21" s="49"/>
      <c r="D21" s="15"/>
    </row>
    <row r="22" spans="1:7" ht="16" x14ac:dyDescent="0.2">
      <c r="A22" s="49"/>
      <c r="B22" s="49"/>
      <c r="C22" s="49"/>
      <c r="D22" s="15"/>
    </row>
    <row r="23" spans="1:7" ht="16" x14ac:dyDescent="0.2">
      <c r="A23" s="49"/>
      <c r="B23" s="49"/>
      <c r="C23" s="49"/>
      <c r="D23" s="15"/>
    </row>
    <row r="24" spans="1:7" ht="16" x14ac:dyDescent="0.2">
      <c r="A24" s="49"/>
      <c r="B24" s="49"/>
      <c r="C24" s="49"/>
      <c r="D24" s="15"/>
    </row>
    <row r="25" spans="1:7" x14ac:dyDescent="0.2">
      <c r="A25" s="49"/>
      <c r="B25" s="49"/>
      <c r="C25" s="49"/>
    </row>
    <row r="26" spans="1:7" x14ac:dyDescent="0.2">
      <c r="A26" s="49"/>
      <c r="B26" s="49"/>
      <c r="C26" s="49"/>
    </row>
    <row r="27" spans="1:7" x14ac:dyDescent="0.2">
      <c r="A27" s="49"/>
      <c r="B27" s="49"/>
      <c r="C27" s="49"/>
    </row>
    <row r="28" spans="1:7" x14ac:dyDescent="0.2">
      <c r="A28" s="49"/>
      <c r="B28" s="49"/>
      <c r="C28" s="49"/>
    </row>
    <row r="29" spans="1:7" x14ac:dyDescent="0.2">
      <c r="A29" s="49"/>
      <c r="B29" s="49"/>
      <c r="C29" s="49"/>
      <c r="F29" s="4"/>
    </row>
    <row r="30" spans="1:7" x14ac:dyDescent="0.2">
      <c r="A30" s="49"/>
      <c r="B30" s="49"/>
      <c r="C30" s="49"/>
    </row>
    <row r="31" spans="1:7" x14ac:dyDescent="0.2">
      <c r="A31" s="49"/>
      <c r="B31" s="49"/>
      <c r="C31" s="49"/>
    </row>
    <row r="32" spans="1:7" x14ac:dyDescent="0.2">
      <c r="A32" s="49"/>
      <c r="B32" s="49"/>
      <c r="C32" s="49"/>
    </row>
    <row r="33" spans="1:3" x14ac:dyDescent="0.2">
      <c r="A33" s="49"/>
      <c r="B33" s="49"/>
      <c r="C33" s="49"/>
    </row>
    <row r="34" spans="1:3" x14ac:dyDescent="0.2">
      <c r="A34" s="49"/>
      <c r="B34" s="49"/>
      <c r="C34" s="49"/>
    </row>
    <row r="35" spans="1:3" x14ac:dyDescent="0.2">
      <c r="A35" s="49"/>
      <c r="B35" s="49"/>
      <c r="C35" s="49"/>
    </row>
    <row r="36" spans="1:3" x14ac:dyDescent="0.2">
      <c r="A36" s="49"/>
      <c r="B36" s="49"/>
      <c r="C36" s="49"/>
    </row>
    <row r="37" spans="1:3" x14ac:dyDescent="0.2">
      <c r="A37" s="49"/>
      <c r="B37" s="49"/>
      <c r="C37" s="49"/>
    </row>
    <row r="38" spans="1:3" x14ac:dyDescent="0.2">
      <c r="A38" s="49"/>
      <c r="B38" s="49"/>
      <c r="C38" s="49"/>
    </row>
    <row r="39" spans="1:3" x14ac:dyDescent="0.2">
      <c r="A39" s="49"/>
      <c r="B39" s="49"/>
      <c r="C39" s="49"/>
    </row>
  </sheetData>
  <mergeCells count="8">
    <mergeCell ref="A19:A20"/>
    <mergeCell ref="C19:C20"/>
    <mergeCell ref="A13:A14"/>
    <mergeCell ref="C13:C14"/>
    <mergeCell ref="A11:A12"/>
    <mergeCell ref="C11:C12"/>
    <mergeCell ref="A17:A18"/>
    <mergeCell ref="C17:C18"/>
  </mergeCells>
  <pageMargins left="0.7" right="0.7" top="0.75" bottom="0.75" header="0.3" footer="0.3"/>
  <pageSetup paperSize="9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8C1F-695E-2147-96F4-3841E5BEB065}">
  <sheetPr codeName="Tabelle12"/>
  <dimension ref="A1:D5"/>
  <sheetViews>
    <sheetView workbookViewId="0">
      <selection activeCell="H27" sqref="H27"/>
    </sheetView>
  </sheetViews>
  <sheetFormatPr baseColWidth="10" defaultRowHeight="15" x14ac:dyDescent="0.2"/>
  <cols>
    <col min="1" max="1" width="19.6640625" bestFit="1" customWidth="1"/>
  </cols>
  <sheetData>
    <row r="1" spans="1:4" ht="16" x14ac:dyDescent="0.2">
      <c r="D1" s="60" t="s">
        <v>68</v>
      </c>
    </row>
    <row r="3" spans="1:4" x14ac:dyDescent="0.2">
      <c r="A3" s="57" t="s">
        <v>65</v>
      </c>
    </row>
    <row r="4" spans="1:4" x14ac:dyDescent="0.2">
      <c r="A4" s="58" t="s">
        <v>66</v>
      </c>
    </row>
    <row r="5" spans="1:4" x14ac:dyDescent="0.2">
      <c r="A5" s="58" t="s">
        <v>67</v>
      </c>
    </row>
  </sheetData>
  <pageMargins left="0.7" right="0.7" top="0.78740157499999996" bottom="0.78740157499999996" header="0.3" footer="0.3"/>
  <pageSetup paperSize="9"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DF93-5EEF-BC4A-8FA2-730E68DF4796}">
  <sheetPr codeName="Tabelle2">
    <pageSetUpPr fitToPage="1"/>
  </sheetPr>
  <dimension ref="A1:P22"/>
  <sheetViews>
    <sheetView view="pageBreakPreview" zoomScaleNormal="79" zoomScaleSheetLayoutView="100" workbookViewId="0">
      <selection activeCell="D38" sqref="D38"/>
    </sheetView>
  </sheetViews>
  <sheetFormatPr baseColWidth="10" defaultRowHeight="15" x14ac:dyDescent="0.2"/>
  <cols>
    <col min="1" max="1" width="25" customWidth="1"/>
    <col min="2" max="2" width="10.6640625" style="91" customWidth="1"/>
    <col min="3" max="3" width="15.33203125" style="96" customWidth="1"/>
    <col min="4" max="4" width="15.5" customWidth="1"/>
    <col min="6" max="7" width="20.33203125" customWidth="1"/>
    <col min="8" max="8" width="15.6640625" customWidth="1"/>
    <col min="9" max="9" width="16.5" style="97" bestFit="1" customWidth="1"/>
    <col min="10" max="10" width="11.33203125" style="97" bestFit="1" customWidth="1"/>
    <col min="11" max="11" width="14.6640625" style="98" customWidth="1"/>
    <col min="12" max="12" width="1.6640625" style="98" customWidth="1"/>
  </cols>
  <sheetData>
    <row r="1" spans="1:16" s="3" customFormat="1" ht="29" x14ac:dyDescent="0.35">
      <c r="A1" s="3" t="s">
        <v>69</v>
      </c>
      <c r="B1" s="90"/>
      <c r="C1" s="93"/>
      <c r="I1" s="94"/>
      <c r="J1" s="94"/>
      <c r="K1" s="95"/>
      <c r="L1" s="95"/>
      <c r="M1" s="119" t="s">
        <v>97</v>
      </c>
    </row>
    <row r="2" spans="1:16" ht="19" x14ac:dyDescent="0.25">
      <c r="A2" s="8" t="s">
        <v>88</v>
      </c>
      <c r="K2" s="95"/>
      <c r="L2" s="95"/>
      <c r="M2" s="120" t="s">
        <v>101</v>
      </c>
      <c r="O2" s="2"/>
      <c r="P2" s="2"/>
    </row>
    <row r="3" spans="1:16" ht="19" x14ac:dyDescent="0.25">
      <c r="A3" s="8"/>
      <c r="K3" s="95"/>
      <c r="L3" s="95"/>
      <c r="M3" s="120" t="s">
        <v>116</v>
      </c>
      <c r="O3" s="2"/>
      <c r="P3" s="2"/>
    </row>
    <row r="4" spans="1:16" ht="19" x14ac:dyDescent="0.25">
      <c r="K4" s="95"/>
      <c r="L4" s="95"/>
      <c r="M4" s="120" t="s">
        <v>99</v>
      </c>
    </row>
    <row r="5" spans="1:16" ht="29" x14ac:dyDescent="0.35">
      <c r="A5" s="3">
        <f>Zusammenfassung!A4</f>
        <v>2021</v>
      </c>
      <c r="H5" s="4"/>
      <c r="K5" s="95"/>
      <c r="L5" s="95"/>
      <c r="M5" s="120" t="s">
        <v>102</v>
      </c>
    </row>
    <row r="6" spans="1:16" ht="19" x14ac:dyDescent="0.25">
      <c r="M6" s="120" t="s">
        <v>100</v>
      </c>
      <c r="N6" s="59"/>
    </row>
    <row r="7" spans="1:16" ht="16" x14ac:dyDescent="0.2">
      <c r="A7" s="114" t="s">
        <v>3</v>
      </c>
      <c r="B7" s="91" t="s">
        <v>4</v>
      </c>
      <c r="C7" s="99" t="s">
        <v>5</v>
      </c>
      <c r="D7" t="s">
        <v>10</v>
      </c>
      <c r="E7" t="s">
        <v>12</v>
      </c>
      <c r="F7" t="s">
        <v>13</v>
      </c>
      <c r="G7" t="s">
        <v>14</v>
      </c>
      <c r="H7" t="s">
        <v>0</v>
      </c>
      <c r="I7" s="19" t="s">
        <v>7</v>
      </c>
      <c r="J7" s="19" t="s">
        <v>11</v>
      </c>
      <c r="K7" s="20" t="s">
        <v>15</v>
      </c>
      <c r="L7" s="20"/>
      <c r="N7" s="59"/>
    </row>
    <row r="8" spans="1:16" x14ac:dyDescent="0.2">
      <c r="A8" s="113"/>
      <c r="B8"/>
      <c r="C8" s="5"/>
      <c r="D8" s="5"/>
      <c r="I8" s="18"/>
      <c r="J8" s="18"/>
      <c r="K8" s="18"/>
      <c r="L8" s="18"/>
    </row>
    <row r="9" spans="1:16" ht="16" x14ac:dyDescent="0.2">
      <c r="A9" s="104" t="s">
        <v>71</v>
      </c>
      <c r="B9" s="105"/>
      <c r="C9" s="106"/>
      <c r="D9" s="107"/>
      <c r="E9" s="105"/>
      <c r="F9" s="105"/>
      <c r="G9" s="105"/>
      <c r="H9" s="108"/>
      <c r="I9" s="109">
        <f>SUBTOTAL(109,Table2[Kostenbasis in EUR])</f>
        <v>0</v>
      </c>
      <c r="J9" s="109">
        <f>SUBTOTAL(109,Table2[Erlös in EUR])</f>
        <v>0</v>
      </c>
      <c r="K9" s="109">
        <f>SUBTOTAL(109,Table2[Gewinn in EUR])</f>
        <v>0</v>
      </c>
      <c r="L9" s="65"/>
    </row>
    <row r="10" spans="1:16" ht="16" x14ac:dyDescent="0.2">
      <c r="A10" s="45" t="s">
        <v>73</v>
      </c>
      <c r="B10"/>
      <c r="C10" s="99"/>
      <c r="D10" s="75"/>
      <c r="H10" s="13"/>
      <c r="I10" s="65">
        <f>I9-I11</f>
        <v>0</v>
      </c>
      <c r="J10" s="65">
        <f>J9-J11</f>
        <v>0</v>
      </c>
      <c r="K10" s="65">
        <f>K9-K11</f>
        <v>0</v>
      </c>
      <c r="L10" s="65"/>
    </row>
    <row r="11" spans="1:16" ht="16" x14ac:dyDescent="0.2">
      <c r="A11" s="45" t="s">
        <v>72</v>
      </c>
      <c r="B11"/>
      <c r="C11" s="99"/>
      <c r="D11" s="75"/>
      <c r="H11" s="13"/>
      <c r="I11" s="65">
        <f>SUMIF(Table2[Haltefrist],"erfüllt",Table2[Kostenbasis in EUR])</f>
        <v>0</v>
      </c>
      <c r="J11" s="65">
        <f>SUMIF(Table2[Haltefrist],"erfüllt",Table2[Erlös in EUR])</f>
        <v>0</v>
      </c>
      <c r="K11" s="65">
        <f>SUMIF(Table2[Haltefrist],"erfüllt",Table2[Gewinn in EUR])</f>
        <v>0</v>
      </c>
      <c r="L11" s="65"/>
    </row>
    <row r="12" spans="1:16" ht="16" x14ac:dyDescent="0.2">
      <c r="A12" s="45" t="s">
        <v>74</v>
      </c>
      <c r="I12" s="20"/>
      <c r="J12" s="20"/>
      <c r="K12" s="65">
        <f>Gebühren!H9</f>
        <v>0</v>
      </c>
      <c r="L12" s="65"/>
    </row>
    <row r="13" spans="1:16" ht="14" customHeight="1" x14ac:dyDescent="0.2">
      <c r="I13" s="19"/>
      <c r="J13" s="19"/>
      <c r="K13" s="19"/>
      <c r="L13" s="19"/>
    </row>
    <row r="14" spans="1:16" ht="16" thickBot="1" x14ac:dyDescent="0.25">
      <c r="A14" s="61" t="s">
        <v>75</v>
      </c>
      <c r="B14" s="92"/>
      <c r="C14" s="103"/>
      <c r="D14" s="64"/>
      <c r="E14" s="64"/>
      <c r="F14" s="64"/>
      <c r="G14" s="64"/>
      <c r="H14" s="64"/>
      <c r="I14" s="66"/>
      <c r="J14" s="66"/>
      <c r="K14" s="66">
        <f>K10-K12</f>
        <v>0</v>
      </c>
      <c r="L14" s="121"/>
    </row>
    <row r="15" spans="1:16" ht="16" thickTop="1" x14ac:dyDescent="0.2">
      <c r="I15" s="19"/>
      <c r="J15" s="19"/>
      <c r="K15" s="19"/>
      <c r="L15" s="19"/>
    </row>
    <row r="21" spans="13:13" x14ac:dyDescent="0.2">
      <c r="M21" s="122"/>
    </row>
    <row r="22" spans="13:13" x14ac:dyDescent="0.2">
      <c r="M22" s="123"/>
    </row>
  </sheetData>
  <pageMargins left="0.7" right="0.7" top="0.75" bottom="0.75" header="0.3" footer="0.3"/>
  <pageSetup paperSize="9" scale="46" fitToHeight="1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4459-4566-D047-A6A7-AA923CBB47A7}">
  <sheetPr codeName="Tabelle3">
    <pageSetUpPr fitToPage="1"/>
  </sheetPr>
  <dimension ref="A1:W48"/>
  <sheetViews>
    <sheetView view="pageBreakPreview" zoomScaleNormal="100" zoomScaleSheetLayoutView="100" workbookViewId="0">
      <selection activeCell="M11" sqref="M11"/>
    </sheetView>
  </sheetViews>
  <sheetFormatPr baseColWidth="10" defaultRowHeight="15" x14ac:dyDescent="0.2"/>
  <cols>
    <col min="1" max="1" width="15.83203125" customWidth="1"/>
    <col min="2" max="2" width="8.33203125" customWidth="1"/>
    <col min="3" max="3" width="12.5" customWidth="1"/>
    <col min="4" max="4" width="13.1640625" customWidth="1"/>
    <col min="5" max="5" width="9.33203125" customWidth="1"/>
    <col min="6" max="6" width="16.33203125" customWidth="1"/>
    <col min="7" max="7" width="19" customWidth="1"/>
    <col min="8" max="8" width="15.83203125" customWidth="1"/>
    <col min="9" max="9" width="17.5" style="110" customWidth="1"/>
    <col min="10" max="10" width="11.33203125" style="110" bestFit="1" customWidth="1"/>
    <col min="11" max="11" width="13.33203125" style="110" bestFit="1" customWidth="1"/>
    <col min="12" max="12" width="2.33203125" customWidth="1"/>
    <col min="23" max="23" width="14.33203125" customWidth="1"/>
  </cols>
  <sheetData>
    <row r="1" spans="1:13" ht="29" x14ac:dyDescent="0.35">
      <c r="A1" s="3" t="s">
        <v>78</v>
      </c>
      <c r="J1" s="17"/>
      <c r="M1" s="119" t="s">
        <v>97</v>
      </c>
    </row>
    <row r="2" spans="1:13" ht="19" x14ac:dyDescent="0.25">
      <c r="A2" s="8" t="s">
        <v>50</v>
      </c>
      <c r="M2" s="120" t="s">
        <v>103</v>
      </c>
    </row>
    <row r="3" spans="1:13" ht="19" x14ac:dyDescent="0.25">
      <c r="A3" t="s">
        <v>51</v>
      </c>
      <c r="M3" s="120" t="s">
        <v>104</v>
      </c>
    </row>
    <row r="4" spans="1:13" ht="19" x14ac:dyDescent="0.25">
      <c r="I4" s="100"/>
      <c r="J4" s="100"/>
      <c r="K4" s="101"/>
      <c r="M4" s="120" t="s">
        <v>119</v>
      </c>
    </row>
    <row r="5" spans="1:13" ht="29" x14ac:dyDescent="0.35">
      <c r="A5" s="3">
        <f>Zusammenfassung!A4</f>
        <v>2021</v>
      </c>
      <c r="M5" s="120" t="s">
        <v>120</v>
      </c>
    </row>
    <row r="6" spans="1:13" ht="19" x14ac:dyDescent="0.25">
      <c r="M6" s="120"/>
    </row>
    <row r="7" spans="1:13" x14ac:dyDescent="0.2">
      <c r="A7" s="114" t="s">
        <v>3</v>
      </c>
      <c r="B7" s="91" t="s">
        <v>4</v>
      </c>
      <c r="C7" s="99" t="s">
        <v>5</v>
      </c>
      <c r="D7" t="s">
        <v>10</v>
      </c>
      <c r="E7" t="s">
        <v>12</v>
      </c>
      <c r="F7" t="s">
        <v>13</v>
      </c>
      <c r="G7" t="s">
        <v>14</v>
      </c>
      <c r="H7" t="s">
        <v>0</v>
      </c>
      <c r="I7" s="19" t="s">
        <v>7</v>
      </c>
      <c r="J7" s="19" t="s">
        <v>11</v>
      </c>
      <c r="K7" s="20" t="s">
        <v>15</v>
      </c>
    </row>
    <row r="8" spans="1:13" x14ac:dyDescent="0.2">
      <c r="A8" s="89"/>
      <c r="C8" s="5"/>
      <c r="D8" s="5"/>
      <c r="I8" s="102"/>
      <c r="J8" s="102"/>
      <c r="K8" s="18"/>
    </row>
    <row r="9" spans="1:13" x14ac:dyDescent="0.2">
      <c r="A9" s="4"/>
      <c r="B9" s="4"/>
      <c r="C9" s="4"/>
      <c r="D9" s="4"/>
      <c r="E9" s="4"/>
      <c r="F9" s="4"/>
      <c r="G9" s="4"/>
      <c r="H9" s="4"/>
      <c r="I9" s="111"/>
      <c r="J9" s="111"/>
      <c r="K9" s="111"/>
    </row>
    <row r="10" spans="1:13" x14ac:dyDescent="0.2">
      <c r="A10" s="4"/>
      <c r="B10" s="4"/>
      <c r="C10" s="4"/>
      <c r="D10" s="4"/>
      <c r="E10" s="4"/>
      <c r="F10" s="4"/>
      <c r="G10" s="4"/>
      <c r="H10" s="4"/>
      <c r="I10" s="111"/>
      <c r="J10" s="111"/>
      <c r="K10" s="111"/>
    </row>
    <row r="11" spans="1:13" x14ac:dyDescent="0.2">
      <c r="A11" s="4"/>
      <c r="B11" s="4"/>
      <c r="C11" s="4"/>
      <c r="D11" s="4"/>
      <c r="E11" s="4"/>
      <c r="F11" s="4"/>
      <c r="G11" s="4"/>
      <c r="H11" s="4"/>
      <c r="I11" s="111"/>
      <c r="J11" s="111"/>
      <c r="K11" s="111"/>
    </row>
    <row r="12" spans="1:13" x14ac:dyDescent="0.2">
      <c r="A12" s="4"/>
      <c r="B12" s="4"/>
      <c r="C12" s="4"/>
      <c r="D12" s="4"/>
      <c r="E12" s="4"/>
      <c r="F12" s="4"/>
      <c r="G12" s="4"/>
      <c r="H12" s="4"/>
      <c r="I12" s="111"/>
      <c r="J12" s="111"/>
      <c r="K12" s="111"/>
    </row>
    <row r="13" spans="1:13" x14ac:dyDescent="0.2">
      <c r="A13" s="4"/>
      <c r="B13" s="4"/>
      <c r="C13" s="4"/>
      <c r="D13" s="4"/>
      <c r="E13" s="4"/>
      <c r="F13" s="4"/>
      <c r="G13" s="4"/>
      <c r="H13" s="4"/>
      <c r="I13" s="111"/>
      <c r="J13" s="111"/>
      <c r="K13" s="111"/>
    </row>
    <row r="14" spans="1:13" x14ac:dyDescent="0.2">
      <c r="A14" s="4"/>
      <c r="B14" s="4"/>
      <c r="C14" s="4"/>
      <c r="D14" s="4"/>
      <c r="E14" s="4"/>
      <c r="F14" s="4"/>
      <c r="G14" s="4"/>
      <c r="H14" s="4"/>
      <c r="I14" s="111"/>
      <c r="J14" s="111"/>
      <c r="K14" s="111"/>
    </row>
    <row r="15" spans="1:13" x14ac:dyDescent="0.2">
      <c r="A15" s="4"/>
      <c r="B15" s="4"/>
      <c r="C15" s="4"/>
      <c r="D15" s="4"/>
      <c r="E15" s="4"/>
      <c r="F15" s="4"/>
      <c r="G15" s="4"/>
      <c r="H15" s="4"/>
      <c r="I15" s="111"/>
      <c r="J15" s="111"/>
      <c r="K15" s="111"/>
    </row>
    <row r="16" spans="1:13" x14ac:dyDescent="0.2">
      <c r="A16" s="4"/>
      <c r="B16" s="4"/>
      <c r="C16" s="4"/>
      <c r="D16" s="4"/>
      <c r="E16" s="4"/>
      <c r="F16" s="4"/>
      <c r="G16" s="4"/>
      <c r="H16" s="4"/>
      <c r="I16" s="111"/>
      <c r="J16" s="111"/>
      <c r="K16" s="111"/>
    </row>
    <row r="17" spans="1:23" x14ac:dyDescent="0.2">
      <c r="A17" s="4"/>
      <c r="B17" s="4"/>
      <c r="C17" s="4"/>
      <c r="D17" s="4"/>
      <c r="E17" s="4"/>
      <c r="F17" s="4"/>
      <c r="G17" s="4"/>
      <c r="H17" s="4"/>
      <c r="I17" s="111"/>
      <c r="J17" s="111"/>
      <c r="K17" s="111"/>
    </row>
    <row r="18" spans="1:23" x14ac:dyDescent="0.2">
      <c r="A18" s="4"/>
      <c r="B18" s="4"/>
      <c r="C18" s="4"/>
      <c r="D18" s="4"/>
      <c r="E18" s="4"/>
      <c r="F18" s="4"/>
      <c r="G18" s="4"/>
      <c r="H18" s="4"/>
      <c r="I18" s="111"/>
      <c r="J18" s="111"/>
      <c r="K18" s="111"/>
    </row>
    <row r="19" spans="1:23" x14ac:dyDescent="0.2">
      <c r="A19" s="4"/>
      <c r="B19" s="4"/>
      <c r="C19" s="4"/>
      <c r="D19" s="4"/>
      <c r="E19" s="4"/>
      <c r="F19" s="4"/>
      <c r="G19" s="4"/>
      <c r="H19" s="4"/>
      <c r="I19" s="111"/>
      <c r="J19" s="111"/>
      <c r="K19" s="111"/>
    </row>
    <row r="20" spans="1:23" x14ac:dyDescent="0.2">
      <c r="A20" s="4"/>
      <c r="B20" s="4"/>
      <c r="C20" s="4"/>
      <c r="D20" s="4"/>
      <c r="E20" s="4"/>
      <c r="F20" s="4"/>
      <c r="G20" s="4"/>
      <c r="H20" s="4"/>
      <c r="I20" s="111"/>
      <c r="J20" s="111"/>
      <c r="K20" s="111"/>
    </row>
    <row r="21" spans="1:23" x14ac:dyDescent="0.2">
      <c r="A21" s="4"/>
      <c r="B21" s="4"/>
      <c r="C21" s="4"/>
      <c r="D21" s="4"/>
      <c r="E21" s="4"/>
      <c r="F21" s="4"/>
      <c r="G21" s="4"/>
      <c r="H21" s="4"/>
      <c r="I21" s="111"/>
      <c r="J21" s="111"/>
      <c r="K21" s="111"/>
    </row>
    <row r="22" spans="1:23" x14ac:dyDescent="0.2">
      <c r="A22" s="4"/>
      <c r="B22" s="4"/>
      <c r="C22" s="75"/>
      <c r="D22" s="75"/>
      <c r="E22" s="4"/>
      <c r="F22" s="4"/>
      <c r="G22" s="4"/>
      <c r="H22" s="4"/>
      <c r="I22" s="111"/>
      <c r="J22" s="111"/>
      <c r="K22" s="111"/>
    </row>
    <row r="23" spans="1:23" x14ac:dyDescent="0.2">
      <c r="A23" s="4"/>
      <c r="B23" s="4"/>
      <c r="C23" s="75"/>
      <c r="D23" s="75"/>
      <c r="E23" s="4"/>
      <c r="F23" s="4"/>
      <c r="G23" s="4"/>
      <c r="H23" s="4"/>
      <c r="I23" s="111"/>
      <c r="J23" s="111"/>
      <c r="K23" s="111"/>
    </row>
    <row r="24" spans="1:23" x14ac:dyDescent="0.2">
      <c r="A24" s="4"/>
      <c r="B24" s="4"/>
      <c r="C24" s="75"/>
      <c r="D24" s="75"/>
      <c r="E24" s="4"/>
      <c r="F24" s="4"/>
      <c r="G24" s="4"/>
      <c r="H24" s="4"/>
      <c r="I24" s="111"/>
      <c r="J24" s="111"/>
      <c r="K24" s="111"/>
    </row>
    <row r="25" spans="1:23" x14ac:dyDescent="0.2">
      <c r="A25" s="4"/>
      <c r="B25" s="4"/>
      <c r="C25" s="75"/>
      <c r="D25" s="75"/>
      <c r="E25" s="4"/>
      <c r="F25" s="4"/>
      <c r="G25" s="4"/>
      <c r="H25" s="4"/>
      <c r="I25" s="111"/>
      <c r="J25" s="111"/>
      <c r="K25" s="111"/>
    </row>
    <row r="26" spans="1:23" x14ac:dyDescent="0.2">
      <c r="A26" s="4"/>
      <c r="B26" s="4"/>
      <c r="C26" s="75"/>
      <c r="D26" s="75"/>
      <c r="E26" s="4"/>
      <c r="F26" s="4"/>
      <c r="G26" s="4"/>
      <c r="H26" s="4"/>
      <c r="I26" s="111"/>
      <c r="J26" s="111"/>
      <c r="K26" s="111"/>
    </row>
    <row r="27" spans="1:23" x14ac:dyDescent="0.2">
      <c r="A27" s="4"/>
      <c r="B27" s="4"/>
      <c r="C27" s="75"/>
      <c r="D27" s="75"/>
      <c r="E27" s="4"/>
      <c r="F27" s="4"/>
      <c r="G27" s="4"/>
      <c r="H27" s="4"/>
      <c r="I27" s="111"/>
      <c r="J27" s="111"/>
      <c r="K27" s="111"/>
    </row>
    <row r="28" spans="1:23" x14ac:dyDescent="0.2">
      <c r="A28" s="4"/>
      <c r="B28" s="4"/>
      <c r="C28" s="75"/>
      <c r="D28" s="75"/>
      <c r="E28" s="4"/>
      <c r="F28" s="4"/>
      <c r="G28" s="4"/>
      <c r="H28" s="4"/>
      <c r="I28" s="111"/>
      <c r="J28" s="111"/>
      <c r="K28" s="111"/>
    </row>
    <row r="29" spans="1:23" x14ac:dyDescent="0.2">
      <c r="A29" s="4"/>
      <c r="B29" s="4"/>
      <c r="C29" s="75"/>
      <c r="D29" s="75"/>
      <c r="E29" s="4"/>
      <c r="F29" s="4"/>
      <c r="G29" s="4"/>
      <c r="H29" s="4"/>
      <c r="I29" s="111"/>
      <c r="J29" s="111"/>
      <c r="K29" s="111"/>
    </row>
    <row r="30" spans="1:23" x14ac:dyDescent="0.2">
      <c r="A30" s="4"/>
      <c r="B30" s="4"/>
      <c r="C30" s="75"/>
      <c r="D30" s="75"/>
      <c r="E30" s="4"/>
      <c r="F30" s="4"/>
      <c r="G30" s="4"/>
      <c r="H30" s="4"/>
      <c r="I30" s="111"/>
      <c r="J30" s="111"/>
      <c r="K30" s="111"/>
    </row>
    <row r="31" spans="1:23" x14ac:dyDescent="0.2">
      <c r="A31" s="4"/>
      <c r="B31" s="4"/>
      <c r="C31" s="75"/>
      <c r="D31" s="75"/>
      <c r="E31" s="4"/>
      <c r="F31" s="4"/>
      <c r="G31" s="4"/>
      <c r="H31" s="4"/>
      <c r="I31" s="111"/>
      <c r="J31" s="111"/>
      <c r="K31" s="111"/>
      <c r="W31" s="7"/>
    </row>
    <row r="32" spans="1:23" x14ac:dyDescent="0.2">
      <c r="A32" s="4"/>
      <c r="B32" s="4"/>
      <c r="C32" s="75"/>
      <c r="D32" s="75"/>
      <c r="E32" s="4"/>
      <c r="F32" s="4"/>
      <c r="G32" s="4"/>
      <c r="H32" s="4"/>
      <c r="I32" s="111"/>
      <c r="J32" s="111"/>
      <c r="K32" s="111"/>
      <c r="W32" s="7"/>
    </row>
    <row r="33" spans="1:23" x14ac:dyDescent="0.2">
      <c r="A33" s="4"/>
      <c r="B33" s="4"/>
      <c r="C33" s="75"/>
      <c r="D33" s="75"/>
      <c r="E33" s="4"/>
      <c r="F33" s="4"/>
      <c r="G33" s="4"/>
      <c r="H33" s="4"/>
      <c r="I33" s="111"/>
      <c r="J33" s="111"/>
      <c r="K33" s="111"/>
      <c r="W33" s="7"/>
    </row>
    <row r="34" spans="1:23" x14ac:dyDescent="0.2">
      <c r="A34" s="4"/>
      <c r="B34" s="4"/>
      <c r="C34" s="4"/>
      <c r="D34" s="4"/>
      <c r="E34" s="4"/>
      <c r="F34" s="4"/>
      <c r="G34" s="4"/>
      <c r="H34" s="4"/>
      <c r="I34" s="111"/>
      <c r="J34" s="111"/>
      <c r="K34" s="111"/>
      <c r="W34" s="7"/>
    </row>
    <row r="35" spans="1:23" x14ac:dyDescent="0.2">
      <c r="A35" s="4"/>
      <c r="B35" s="4"/>
      <c r="C35" s="4"/>
      <c r="D35" s="4"/>
      <c r="E35" s="4"/>
      <c r="F35" s="4"/>
      <c r="G35" s="4"/>
      <c r="H35" s="4"/>
      <c r="I35" s="111"/>
      <c r="J35" s="111"/>
      <c r="K35" s="111"/>
      <c r="W35" s="7"/>
    </row>
    <row r="36" spans="1:23" x14ac:dyDescent="0.2">
      <c r="A36" s="4"/>
      <c r="B36" s="4"/>
      <c r="C36" s="4"/>
      <c r="D36" s="4"/>
      <c r="E36" s="4"/>
      <c r="F36" s="4"/>
      <c r="G36" s="4"/>
      <c r="H36" s="4"/>
      <c r="I36" s="111"/>
      <c r="J36" s="111"/>
      <c r="K36" s="111"/>
    </row>
    <row r="37" spans="1:23" x14ac:dyDescent="0.2">
      <c r="A37" s="4"/>
      <c r="B37" s="4"/>
      <c r="C37" s="4"/>
      <c r="D37" s="4"/>
      <c r="E37" s="4"/>
      <c r="F37" s="4"/>
      <c r="G37" s="4"/>
      <c r="H37" s="4"/>
      <c r="I37" s="111"/>
      <c r="J37" s="111"/>
      <c r="K37" s="111"/>
    </row>
    <row r="38" spans="1:23" x14ac:dyDescent="0.2">
      <c r="A38" s="4"/>
      <c r="B38" s="4"/>
      <c r="C38" s="4"/>
      <c r="D38" s="4"/>
      <c r="E38" s="4"/>
      <c r="F38" s="4"/>
      <c r="G38" s="4"/>
      <c r="H38" s="4"/>
      <c r="I38" s="111"/>
      <c r="J38" s="111"/>
      <c r="K38" s="111"/>
    </row>
    <row r="39" spans="1:23" x14ac:dyDescent="0.2">
      <c r="A39" s="4"/>
      <c r="B39" s="4"/>
      <c r="C39" s="4"/>
      <c r="D39" s="4"/>
      <c r="E39" s="4"/>
      <c r="F39" s="4"/>
      <c r="G39" s="4"/>
      <c r="H39" s="4"/>
      <c r="I39" s="111"/>
      <c r="J39" s="111"/>
      <c r="K39" s="111"/>
    </row>
    <row r="40" spans="1:23" x14ac:dyDescent="0.2">
      <c r="A40" s="4"/>
      <c r="B40" s="4"/>
      <c r="C40" s="4"/>
      <c r="D40" s="4"/>
      <c r="E40" s="4"/>
      <c r="F40" s="4"/>
      <c r="G40" s="4"/>
      <c r="H40" s="4"/>
      <c r="I40" s="111"/>
      <c r="J40" s="111"/>
      <c r="K40" s="111"/>
    </row>
    <row r="41" spans="1:23" x14ac:dyDescent="0.2">
      <c r="A41" s="4"/>
      <c r="B41" s="4"/>
      <c r="C41" s="4"/>
      <c r="D41" s="4"/>
      <c r="E41" s="4"/>
      <c r="F41" s="4"/>
      <c r="G41" s="4"/>
      <c r="H41" s="4"/>
      <c r="I41" s="111"/>
      <c r="J41" s="111"/>
      <c r="K41" s="111"/>
      <c r="M41" s="4"/>
      <c r="N41" s="4"/>
      <c r="O41" s="4"/>
      <c r="P41" s="4"/>
      <c r="Q41" s="4"/>
      <c r="T41" s="4"/>
      <c r="V41" s="4"/>
      <c r="W41" s="10"/>
    </row>
    <row r="42" spans="1:23" x14ac:dyDescent="0.2">
      <c r="A42" s="4"/>
      <c r="B42" s="4"/>
      <c r="C42" s="4"/>
      <c r="D42" s="4"/>
      <c r="E42" s="4"/>
      <c r="F42" s="4"/>
      <c r="G42" s="4"/>
      <c r="H42" s="4"/>
      <c r="I42" s="111"/>
      <c r="J42" s="111"/>
      <c r="K42" s="111"/>
      <c r="M42" s="4"/>
      <c r="N42" s="4"/>
      <c r="O42" s="4"/>
      <c r="P42" s="4"/>
      <c r="Q42" s="4"/>
      <c r="T42" s="4"/>
      <c r="V42" s="4"/>
      <c r="W42" s="10"/>
    </row>
    <row r="43" spans="1:23" x14ac:dyDescent="0.2">
      <c r="A43" s="4"/>
      <c r="B43" s="4"/>
      <c r="C43" s="4"/>
      <c r="D43" s="4"/>
      <c r="E43" s="4"/>
      <c r="F43" s="4"/>
      <c r="G43" s="4"/>
      <c r="H43" s="4"/>
      <c r="I43" s="111"/>
      <c r="J43" s="111"/>
      <c r="K43" s="111"/>
    </row>
    <row r="47" spans="1:23" x14ac:dyDescent="0.2">
      <c r="O47" s="4"/>
    </row>
    <row r="48" spans="1:23" x14ac:dyDescent="0.2">
      <c r="O48" s="4"/>
    </row>
  </sheetData>
  <pageMargins left="0.7" right="0.7" top="0.75" bottom="0.75" header="0.3" footer="0.3"/>
  <pageSetup paperSize="9" scale="54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40FE-F865-EC49-AD75-5369FC201A2A}">
  <sheetPr codeName="Tabelle4">
    <pageSetUpPr fitToPage="1"/>
  </sheetPr>
  <dimension ref="A1:J29"/>
  <sheetViews>
    <sheetView view="pageBreakPreview" zoomScaleNormal="100" zoomScaleSheetLayoutView="100" workbookViewId="0">
      <selection activeCell="B27" sqref="B27"/>
    </sheetView>
  </sheetViews>
  <sheetFormatPr baseColWidth="10" defaultRowHeight="15" x14ac:dyDescent="0.2"/>
  <cols>
    <col min="1" max="1" width="15.83203125" customWidth="1"/>
    <col min="2" max="2" width="16.6640625" style="115" customWidth="1"/>
    <col min="4" max="4" width="6.1640625" bestFit="1" customWidth="1"/>
    <col min="5" max="5" width="16.6640625" customWidth="1"/>
    <col min="6" max="6" width="12.6640625" customWidth="1"/>
    <col min="7" max="7" width="27.6640625" style="17" customWidth="1"/>
    <col min="8" max="8" width="25.1640625" customWidth="1"/>
    <col min="9" max="9" width="2.33203125" customWidth="1"/>
  </cols>
  <sheetData>
    <row r="1" spans="1:10" ht="29" x14ac:dyDescent="0.35">
      <c r="A1" s="3" t="s">
        <v>22</v>
      </c>
      <c r="J1" s="119" t="s">
        <v>97</v>
      </c>
    </row>
    <row r="2" spans="1:10" ht="19" x14ac:dyDescent="0.25">
      <c r="A2" s="8" t="s">
        <v>23</v>
      </c>
      <c r="J2" s="120" t="s">
        <v>105</v>
      </c>
    </row>
    <row r="3" spans="1:10" ht="19" x14ac:dyDescent="0.25">
      <c r="A3" s="8"/>
      <c r="J3" s="120" t="s">
        <v>116</v>
      </c>
    </row>
    <row r="4" spans="1:10" ht="19" x14ac:dyDescent="0.25">
      <c r="A4" s="8"/>
      <c r="J4" s="120" t="s">
        <v>106</v>
      </c>
    </row>
    <row r="5" spans="1:10" ht="29" x14ac:dyDescent="0.35">
      <c r="A5" s="3">
        <f>Zusammenfassung!A4</f>
        <v>2021</v>
      </c>
    </row>
    <row r="7" spans="1:10" x14ac:dyDescent="0.2">
      <c r="A7" s="4" t="s">
        <v>24</v>
      </c>
      <c r="B7" s="116" t="s">
        <v>3</v>
      </c>
      <c r="C7" s="12" t="s">
        <v>4</v>
      </c>
      <c r="D7" s="4" t="s">
        <v>25</v>
      </c>
      <c r="E7" s="12" t="s">
        <v>13</v>
      </c>
      <c r="F7" s="14" t="s">
        <v>26</v>
      </c>
      <c r="G7" s="23" t="s">
        <v>27</v>
      </c>
      <c r="H7" s="4" t="s">
        <v>0</v>
      </c>
    </row>
    <row r="8" spans="1:10" ht="16" thickBot="1" x14ac:dyDescent="0.25">
      <c r="A8" s="47"/>
      <c r="B8" s="113"/>
      <c r="G8" s="18"/>
      <c r="H8" s="4" t="str">
        <f>IF(Table18[[#This Row],[Art]]="Airdrop","steuerfrei",IF(Table18[[#This Row],[Art]]="Geschenk / Trinkgeld","steuerfrei",IF(Table18[[#This Row],[Art]]="Einnahme (steuerfrei)","steuerfrei",IF(Table18[[#This Row],[Art]]="Einnahme","steuerpflichtig","steuerpflichtig"))))</f>
        <v>steuerpflichtig</v>
      </c>
    </row>
    <row r="9" spans="1:10" ht="16" thickTop="1" x14ac:dyDescent="0.2">
      <c r="A9" s="44" t="s">
        <v>76</v>
      </c>
      <c r="B9" s="117"/>
      <c r="C9" s="67"/>
      <c r="D9" s="67"/>
      <c r="E9" s="68"/>
      <c r="F9" s="68"/>
      <c r="G9" s="69">
        <f>SUBTOTAL(109,Table18[Wert im Zeitpunkt des Eingangs])</f>
        <v>0</v>
      </c>
    </row>
    <row r="10" spans="1:10" x14ac:dyDescent="0.2">
      <c r="A10" s="45" t="s">
        <v>73</v>
      </c>
      <c r="C10" s="5"/>
      <c r="D10" s="5"/>
      <c r="G10" s="17">
        <f>G9-G11</f>
        <v>0</v>
      </c>
    </row>
    <row r="11" spans="1:10" x14ac:dyDescent="0.2">
      <c r="A11" s="45" t="s">
        <v>72</v>
      </c>
      <c r="C11" s="5"/>
      <c r="D11" s="5"/>
      <c r="G11" s="17">
        <f>SUMIF(Table18[Typ],"Steuerfrei",Table18[Wert im Zeitpunkt des Eingangs])</f>
        <v>0</v>
      </c>
    </row>
    <row r="12" spans="1:10" x14ac:dyDescent="0.2">
      <c r="A12" s="45"/>
      <c r="C12" s="5"/>
      <c r="D12" s="5"/>
    </row>
    <row r="13" spans="1:10" x14ac:dyDescent="0.2">
      <c r="B13" s="113"/>
    </row>
    <row r="14" spans="1:10" ht="16" thickBot="1" x14ac:dyDescent="0.25">
      <c r="A14" s="61" t="s">
        <v>77</v>
      </c>
      <c r="B14" s="118"/>
      <c r="C14" s="64"/>
      <c r="D14" s="64"/>
      <c r="E14" s="64"/>
      <c r="F14" s="64"/>
      <c r="G14" s="70">
        <f>G10</f>
        <v>0</v>
      </c>
    </row>
    <row r="15" spans="1:10" ht="16" thickTop="1" x14ac:dyDescent="0.2">
      <c r="A15" s="32"/>
      <c r="B15" s="113"/>
      <c r="G15" s="18"/>
    </row>
    <row r="16" spans="1:10" x14ac:dyDescent="0.2">
      <c r="A16" s="32"/>
      <c r="B16" s="113"/>
      <c r="G16" s="18"/>
    </row>
    <row r="17" spans="1:7" x14ac:dyDescent="0.2">
      <c r="A17" s="32"/>
      <c r="B17" s="113"/>
      <c r="G17" s="18"/>
    </row>
    <row r="18" spans="1:7" x14ac:dyDescent="0.2">
      <c r="A18" s="32"/>
      <c r="B18" s="113"/>
      <c r="G18" s="18"/>
    </row>
    <row r="19" spans="1:7" x14ac:dyDescent="0.2">
      <c r="A19" s="32"/>
      <c r="B19" s="113"/>
      <c r="C19" s="18"/>
    </row>
    <row r="20" spans="1:7" x14ac:dyDescent="0.2">
      <c r="A20" s="32"/>
      <c r="B20" s="113"/>
      <c r="G20" s="18"/>
    </row>
    <row r="21" spans="1:7" x14ac:dyDescent="0.2">
      <c r="A21" s="32"/>
      <c r="B21" s="113"/>
      <c r="G21" s="126"/>
    </row>
    <row r="22" spans="1:7" x14ac:dyDescent="0.2">
      <c r="A22" s="32"/>
      <c r="B22" s="113"/>
      <c r="G22" s="18"/>
    </row>
    <row r="23" spans="1:7" x14ac:dyDescent="0.2">
      <c r="A23" s="32"/>
      <c r="B23" s="113"/>
      <c r="G23" s="18"/>
    </row>
    <row r="24" spans="1:7" x14ac:dyDescent="0.2">
      <c r="A24" s="32"/>
      <c r="B24" s="113"/>
      <c r="G24" s="18"/>
    </row>
    <row r="25" spans="1:7" x14ac:dyDescent="0.2">
      <c r="A25" s="32"/>
      <c r="B25" s="113"/>
      <c r="G25" s="18"/>
    </row>
    <row r="26" spans="1:7" x14ac:dyDescent="0.2">
      <c r="A26" s="32"/>
      <c r="B26" s="113"/>
      <c r="G26" s="18"/>
    </row>
    <row r="27" spans="1:7" ht="16" x14ac:dyDescent="0.2">
      <c r="A27" s="36"/>
      <c r="B27" s="113"/>
      <c r="G27" s="18"/>
    </row>
    <row r="28" spans="1:7" ht="16" x14ac:dyDescent="0.2">
      <c r="A28" s="36"/>
      <c r="B28" s="113"/>
      <c r="G28" s="48"/>
    </row>
    <row r="29" spans="1:7" ht="16" x14ac:dyDescent="0.2">
      <c r="A29" s="36"/>
      <c r="B29" s="113"/>
      <c r="G29" s="48"/>
    </row>
  </sheetData>
  <pageMargins left="0.7" right="0.7" top="0.75" bottom="0.75" header="0.3" footer="0.3"/>
  <pageSetup paperSize="9" scale="62" fitToHeight="5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E797C-3EBE-BA4D-B8AB-E03A25B5D924}">
  <sheetPr codeName="Tabelle5">
    <pageSetUpPr fitToPage="1"/>
  </sheetPr>
  <dimension ref="A1:J13"/>
  <sheetViews>
    <sheetView view="pageBreakPreview" zoomScaleNormal="100" zoomScaleSheetLayoutView="100" workbookViewId="0">
      <selection activeCell="G25" sqref="G25"/>
    </sheetView>
  </sheetViews>
  <sheetFormatPr baseColWidth="10" defaultRowHeight="15" x14ac:dyDescent="0.2"/>
  <cols>
    <col min="1" max="1" width="13.6640625" customWidth="1"/>
    <col min="2" max="2" width="9.6640625" customWidth="1"/>
    <col min="3" max="3" width="8.1640625" bestFit="1" customWidth="1"/>
    <col min="4" max="4" width="9.33203125" bestFit="1" customWidth="1"/>
    <col min="5" max="5" width="20.33203125" bestFit="1" customWidth="1"/>
    <col min="6" max="6" width="62" bestFit="1" customWidth="1"/>
    <col min="7" max="7" width="17.5" style="17" bestFit="1" customWidth="1"/>
    <col min="8" max="8" width="17.83203125" style="17" bestFit="1" customWidth="1"/>
    <col min="9" max="9" width="2" customWidth="1"/>
  </cols>
  <sheetData>
    <row r="1" spans="1:10" ht="29" x14ac:dyDescent="0.35">
      <c r="A1" s="3" t="s">
        <v>29</v>
      </c>
      <c r="J1" s="119" t="s">
        <v>97</v>
      </c>
    </row>
    <row r="2" spans="1:10" ht="19" x14ac:dyDescent="0.25">
      <c r="A2" s="8" t="s">
        <v>30</v>
      </c>
      <c r="J2" s="120" t="s">
        <v>107</v>
      </c>
    </row>
    <row r="3" spans="1:10" ht="19" x14ac:dyDescent="0.25">
      <c r="A3" s="8"/>
      <c r="J3" s="120" t="s">
        <v>116</v>
      </c>
    </row>
    <row r="5" spans="1:10" ht="29" x14ac:dyDescent="0.35">
      <c r="A5" s="3">
        <f>Zusammenfassung!A4</f>
        <v>2021</v>
      </c>
    </row>
    <row r="6" spans="1:10" x14ac:dyDescent="0.2">
      <c r="A6" s="5"/>
    </row>
    <row r="7" spans="1:10" x14ac:dyDescent="0.2">
      <c r="A7" s="11" t="s">
        <v>24</v>
      </c>
      <c r="B7" s="11" t="s">
        <v>3</v>
      </c>
      <c r="C7" s="12" t="s">
        <v>4</v>
      </c>
      <c r="D7" s="12" t="s">
        <v>25</v>
      </c>
      <c r="E7" s="12" t="s">
        <v>96</v>
      </c>
      <c r="F7" s="12" t="s">
        <v>26</v>
      </c>
      <c r="G7" s="23" t="s">
        <v>43</v>
      </c>
      <c r="H7" s="23" t="s">
        <v>28</v>
      </c>
    </row>
    <row r="8" spans="1:10" x14ac:dyDescent="0.2">
      <c r="A8" s="5"/>
      <c r="B8" s="113"/>
      <c r="G8" s="18"/>
      <c r="H8" s="18"/>
    </row>
    <row r="9" spans="1:10" x14ac:dyDescent="0.2">
      <c r="A9" s="5"/>
      <c r="B9" s="113"/>
      <c r="G9" s="18"/>
      <c r="H9" s="18"/>
    </row>
    <row r="10" spans="1:10" x14ac:dyDescent="0.2">
      <c r="A10" s="5"/>
      <c r="B10" s="113"/>
      <c r="G10" s="18"/>
      <c r="H10" s="18"/>
    </row>
    <row r="11" spans="1:10" x14ac:dyDescent="0.2">
      <c r="A11" s="5"/>
      <c r="B11" s="113"/>
      <c r="G11" s="18"/>
      <c r="H11" s="18"/>
      <c r="I11" s="5"/>
    </row>
    <row r="13" spans="1:10" x14ac:dyDescent="0.2">
      <c r="I13" s="5"/>
    </row>
  </sheetData>
  <pageMargins left="0.7" right="0.7" top="0.75" bottom="0.75" header="0.3" footer="0.3"/>
  <pageSetup paperSize="9" scale="52" orientation="portrait" horizontalDpi="0" verticalDpi="0"/>
  <headerFooter>
    <oddFooter>&amp;C&amp;K000000Anhang Seite &amp;P von &amp;N</oddFooter>
  </headerFooter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D9C6F-DB70-7C4F-9EA1-C9E4E1CA81EC}">
  <sheetPr codeName="Tabelle10">
    <tabColor theme="2" tint="-0.249977111117893"/>
    <pageSetUpPr fitToPage="1"/>
  </sheetPr>
  <dimension ref="A1:L10"/>
  <sheetViews>
    <sheetView view="pageBreakPreview" zoomScaleNormal="79" zoomScaleSheetLayoutView="100" workbookViewId="0">
      <selection activeCell="J5" sqref="J5"/>
    </sheetView>
  </sheetViews>
  <sheetFormatPr baseColWidth="10" defaultRowHeight="15" x14ac:dyDescent="0.2"/>
  <cols>
    <col min="1" max="1" width="17.5" customWidth="1"/>
    <col min="2" max="2" width="10.83203125" style="22"/>
    <col min="3" max="3" width="15.33203125" style="32" customWidth="1"/>
    <col min="4" max="4" width="14.83203125" customWidth="1"/>
    <col min="6" max="6" width="16.33203125" customWidth="1"/>
    <col min="7" max="7" width="19" customWidth="1"/>
    <col min="8" max="8" width="39.1640625" customWidth="1"/>
    <col min="9" max="9" width="2.6640625" customWidth="1"/>
  </cols>
  <sheetData>
    <row r="1" spans="1:12" s="3" customFormat="1" ht="29" x14ac:dyDescent="0.35">
      <c r="A1" s="3" t="s">
        <v>87</v>
      </c>
      <c r="B1" s="21"/>
      <c r="C1" s="31"/>
      <c r="J1" s="119" t="s">
        <v>97</v>
      </c>
    </row>
    <row r="2" spans="1:12" ht="19" x14ac:dyDescent="0.25">
      <c r="A2" s="8" t="s">
        <v>91</v>
      </c>
      <c r="J2" s="120" t="s">
        <v>108</v>
      </c>
      <c r="K2" s="2"/>
      <c r="L2" s="2"/>
    </row>
    <row r="3" spans="1:12" ht="19" x14ac:dyDescent="0.25">
      <c r="A3" s="8"/>
      <c r="J3" s="120" t="s">
        <v>109</v>
      </c>
      <c r="K3" s="2"/>
      <c r="L3" s="2"/>
    </row>
    <row r="4" spans="1:12" ht="19" x14ac:dyDescent="0.25">
      <c r="J4" s="120" t="s">
        <v>110</v>
      </c>
    </row>
    <row r="5" spans="1:12" ht="29" x14ac:dyDescent="0.35">
      <c r="A5" s="3">
        <f>Zusammenfassung!A4</f>
        <v>2021</v>
      </c>
      <c r="H5" s="4"/>
      <c r="J5" s="120"/>
    </row>
    <row r="6" spans="1:12" ht="16" x14ac:dyDescent="0.2">
      <c r="J6" s="59"/>
    </row>
    <row r="7" spans="1:12" ht="16" x14ac:dyDescent="0.2">
      <c r="A7" s="46" t="s">
        <v>92</v>
      </c>
      <c r="B7" s="79" t="s">
        <v>3</v>
      </c>
      <c r="C7" s="80" t="s">
        <v>4</v>
      </c>
      <c r="D7" s="4" t="s">
        <v>0</v>
      </c>
      <c r="E7" s="13" t="s">
        <v>89</v>
      </c>
      <c r="F7" s="13" t="s">
        <v>33</v>
      </c>
      <c r="G7" s="13" t="s">
        <v>7</v>
      </c>
      <c r="H7" s="13" t="s">
        <v>90</v>
      </c>
      <c r="J7" s="59"/>
    </row>
    <row r="8" spans="1:12" ht="16" x14ac:dyDescent="0.2">
      <c r="A8" s="5"/>
      <c r="B8"/>
      <c r="C8"/>
      <c r="H8" s="18"/>
      <c r="J8" s="59"/>
    </row>
    <row r="9" spans="1:12" ht="16" thickBot="1" x14ac:dyDescent="0.25">
      <c r="A9" s="61" t="s">
        <v>75</v>
      </c>
      <c r="B9" s="62"/>
      <c r="C9" s="63"/>
      <c r="D9" s="64"/>
      <c r="E9" s="64"/>
      <c r="F9" s="64"/>
      <c r="G9" s="64"/>
      <c r="H9" s="66">
        <f>SUM(Table26[Wert bei Transaktion in EUR])</f>
        <v>0</v>
      </c>
    </row>
    <row r="10" spans="1:12" ht="16" thickTop="1" x14ac:dyDescent="0.2"/>
  </sheetData>
  <phoneticPr fontId="26" type="noConversion"/>
  <pageMargins left="0.7" right="0.7" top="0.75" bottom="0.75" header="0.3" footer="0.3"/>
  <pageSetup paperSize="9" scale="57" fitToHeight="10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EEEF5-A4B8-4E41-9B7E-FBAA58D4B531}">
  <sheetPr codeName="Tabelle6"/>
  <dimension ref="A1:J14"/>
  <sheetViews>
    <sheetView view="pageBreakPreview" zoomScaleNormal="100" zoomScaleSheetLayoutView="100" workbookViewId="0">
      <selection activeCell="J5" sqref="J5"/>
    </sheetView>
  </sheetViews>
  <sheetFormatPr baseColWidth="10" defaultRowHeight="15" x14ac:dyDescent="0.2"/>
  <cols>
    <col min="6" max="6" width="35.1640625" customWidth="1"/>
    <col min="7" max="7" width="10.83203125" style="17"/>
    <col min="8" max="8" width="22.33203125" style="17" bestFit="1" customWidth="1"/>
  </cols>
  <sheetData>
    <row r="1" spans="1:10" ht="29" x14ac:dyDescent="0.35">
      <c r="A1" s="3" t="s">
        <v>42</v>
      </c>
      <c r="J1" s="125" t="s">
        <v>117</v>
      </c>
    </row>
    <row r="2" spans="1:10" x14ac:dyDescent="0.2">
      <c r="A2" s="8" t="s">
        <v>41</v>
      </c>
      <c r="J2" s="4" t="s">
        <v>118</v>
      </c>
    </row>
    <row r="3" spans="1:10" x14ac:dyDescent="0.2">
      <c r="A3" s="8"/>
    </row>
    <row r="5" spans="1:10" ht="29" x14ac:dyDescent="0.35">
      <c r="A5" s="3">
        <f>Zusammenfassung!A4</f>
        <v>2021</v>
      </c>
    </row>
    <row r="6" spans="1:10" x14ac:dyDescent="0.2">
      <c r="A6" s="5"/>
    </row>
    <row r="7" spans="1:10" ht="16" x14ac:dyDescent="0.2">
      <c r="A7" s="11" t="s">
        <v>35</v>
      </c>
      <c r="B7" s="11" t="s">
        <v>3</v>
      </c>
      <c r="C7" s="12" t="s">
        <v>4</v>
      </c>
      <c r="D7" s="12" t="s">
        <v>25</v>
      </c>
      <c r="E7" s="12" t="s">
        <v>13</v>
      </c>
      <c r="F7" s="15" t="s">
        <v>33</v>
      </c>
      <c r="G7" s="16" t="s">
        <v>36</v>
      </c>
      <c r="H7" s="16" t="s">
        <v>34</v>
      </c>
    </row>
    <row r="8" spans="1:10" x14ac:dyDescent="0.2">
      <c r="A8" s="5"/>
      <c r="G8" s="18"/>
      <c r="H8" s="18"/>
    </row>
    <row r="9" spans="1:10" x14ac:dyDescent="0.2">
      <c r="A9" s="5"/>
    </row>
    <row r="13" spans="1:10" ht="16" x14ac:dyDescent="0.2">
      <c r="A13" s="15"/>
      <c r="B13" s="15"/>
      <c r="C13" s="15"/>
      <c r="D13" s="15"/>
      <c r="E13" s="15"/>
      <c r="F13" s="15"/>
      <c r="G13" s="16"/>
      <c r="H13" s="16"/>
    </row>
    <row r="14" spans="1:10" x14ac:dyDescent="0.2">
      <c r="A14" s="5"/>
      <c r="G14" s="18"/>
      <c r="H14" s="18"/>
    </row>
  </sheetData>
  <pageMargins left="0.7" right="0.7" top="0.78740157499999996" bottom="0.78740157499999996" header="0.3" footer="0.3"/>
  <pageSetup paperSize="9" scale="65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A85F-6395-8B4A-96E0-4D67BFC0E44C}">
  <sheetPr codeName="Tabelle7">
    <tabColor theme="0" tint="-0.249977111117893"/>
    <pageSetUpPr fitToPage="1"/>
  </sheetPr>
  <dimension ref="A1:P8"/>
  <sheetViews>
    <sheetView tabSelected="1" view="pageBreakPreview" zoomScaleNormal="100" zoomScaleSheetLayoutView="100" workbookViewId="0">
      <selection activeCell="K5" sqref="K5"/>
    </sheetView>
  </sheetViews>
  <sheetFormatPr baseColWidth="10" defaultRowHeight="15" x14ac:dyDescent="0.2"/>
  <cols>
    <col min="1" max="1" width="15" customWidth="1"/>
    <col min="2" max="2" width="8.1640625" bestFit="1" customWidth="1"/>
    <col min="3" max="3" width="14.5" customWidth="1"/>
    <col min="4" max="4" width="21.1640625" customWidth="1"/>
    <col min="5" max="5" width="14.5" style="19" bestFit="1" customWidth="1"/>
    <col min="6" max="6" width="23.83203125" style="19" customWidth="1"/>
    <col min="7" max="7" width="17.5" style="19" customWidth="1"/>
    <col min="8" max="8" width="19.83203125" style="19" bestFit="1" customWidth="1"/>
    <col min="9" max="9" width="20" style="19" bestFit="1" customWidth="1"/>
    <col min="10" max="10" width="1.5" customWidth="1"/>
  </cols>
  <sheetData>
    <row r="1" spans="1:16" ht="29" x14ac:dyDescent="0.35">
      <c r="A1" s="3" t="s">
        <v>16</v>
      </c>
      <c r="K1" s="119" t="s">
        <v>97</v>
      </c>
    </row>
    <row r="2" spans="1:16" ht="19" x14ac:dyDescent="0.25">
      <c r="A2" s="8" t="s">
        <v>17</v>
      </c>
      <c r="K2" s="120" t="s">
        <v>114</v>
      </c>
      <c r="P2" s="59"/>
    </row>
    <row r="3" spans="1:16" ht="19" x14ac:dyDescent="0.25">
      <c r="A3" s="6"/>
      <c r="K3" s="120" t="s">
        <v>116</v>
      </c>
      <c r="P3" s="59"/>
    </row>
    <row r="4" spans="1:16" ht="19" x14ac:dyDescent="0.25">
      <c r="K4" s="120" t="s">
        <v>111</v>
      </c>
    </row>
    <row r="5" spans="1:16" s="8" customFormat="1" ht="29" x14ac:dyDescent="0.35">
      <c r="A5" s="3">
        <f>Zusammenfassung!A4</f>
        <v>2021</v>
      </c>
      <c r="C5" s="9"/>
      <c r="E5" s="24"/>
      <c r="F5" s="24"/>
      <c r="G5" s="24"/>
      <c r="H5" s="24"/>
      <c r="I5" s="24"/>
      <c r="K5" s="120" t="s">
        <v>112</v>
      </c>
    </row>
    <row r="6" spans="1:16" x14ac:dyDescent="0.2">
      <c r="D6" s="4" t="s">
        <v>79</v>
      </c>
    </row>
    <row r="7" spans="1:16" x14ac:dyDescent="0.2">
      <c r="A7" t="s">
        <v>3</v>
      </c>
      <c r="B7" t="s">
        <v>4</v>
      </c>
      <c r="C7" s="112" t="s">
        <v>5</v>
      </c>
      <c r="D7" t="s">
        <v>32</v>
      </c>
      <c r="E7" s="100" t="s">
        <v>6</v>
      </c>
      <c r="F7" s="101" t="s">
        <v>37</v>
      </c>
      <c r="G7" s="100" t="s">
        <v>7</v>
      </c>
      <c r="H7" s="100" t="s">
        <v>8</v>
      </c>
      <c r="I7" s="100" t="s">
        <v>9</v>
      </c>
    </row>
    <row r="8" spans="1:16" x14ac:dyDescent="0.2">
      <c r="C8" s="5"/>
      <c r="E8"/>
      <c r="F8"/>
      <c r="G8"/>
      <c r="H8"/>
      <c r="I8"/>
    </row>
  </sheetData>
  <phoneticPr fontId="12" type="noConversion"/>
  <pageMargins left="0.7" right="0.7" top="0.75" bottom="0.75" header="0.3" footer="0.3"/>
  <pageSetup paperSize="9" scale="53" fitToHeight="1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77FE-F39C-CA46-A537-31B9E5257CCF}">
  <sheetPr codeName="Tabelle13">
    <pageSetUpPr fitToPage="1"/>
  </sheetPr>
  <dimension ref="A1:N8"/>
  <sheetViews>
    <sheetView view="pageBreakPreview" zoomScale="90" zoomScaleNormal="100" zoomScaleSheetLayoutView="90" workbookViewId="0">
      <selection activeCell="A2" sqref="A2"/>
    </sheetView>
  </sheetViews>
  <sheetFormatPr baseColWidth="10" defaultRowHeight="15" x14ac:dyDescent="0.2"/>
  <cols>
    <col min="1" max="1" width="15" customWidth="1"/>
    <col min="2" max="2" width="8.1640625" bestFit="1" customWidth="1"/>
    <col min="3" max="3" width="14.5" customWidth="1"/>
    <col min="4" max="4" width="21.1640625" customWidth="1"/>
    <col min="5" max="5" width="14.5" bestFit="1" customWidth="1"/>
    <col min="6" max="6" width="23.83203125" customWidth="1"/>
    <col min="7" max="7" width="17.5" customWidth="1"/>
    <col min="8" max="8" width="2" customWidth="1"/>
  </cols>
  <sheetData>
    <row r="1" spans="1:14" ht="29" x14ac:dyDescent="0.35">
      <c r="A1" s="3" t="s">
        <v>16</v>
      </c>
      <c r="E1" s="19"/>
      <c r="F1" s="19"/>
      <c r="G1" s="19"/>
      <c r="I1" s="119" t="s">
        <v>97</v>
      </c>
    </row>
    <row r="2" spans="1:14" ht="19" x14ac:dyDescent="0.25">
      <c r="A2" s="8" t="s">
        <v>17</v>
      </c>
      <c r="E2" s="19"/>
      <c r="F2" s="19"/>
      <c r="G2" s="19"/>
      <c r="I2" s="120" t="s">
        <v>113</v>
      </c>
      <c r="N2" s="59"/>
    </row>
    <row r="3" spans="1:14" ht="19" x14ac:dyDescent="0.25">
      <c r="A3" s="6"/>
      <c r="E3" s="19"/>
      <c r="F3" s="19"/>
      <c r="G3" s="19"/>
      <c r="I3" s="120" t="s">
        <v>98</v>
      </c>
      <c r="N3" s="59"/>
    </row>
    <row r="4" spans="1:14" ht="19" x14ac:dyDescent="0.25">
      <c r="E4" s="19"/>
      <c r="F4" s="19"/>
      <c r="G4" s="19"/>
      <c r="I4" s="120"/>
    </row>
    <row r="5" spans="1:14" s="8" customFormat="1" ht="29" x14ac:dyDescent="0.35">
      <c r="A5" s="3">
        <f>Zusammenfassung!A4</f>
        <v>2021</v>
      </c>
      <c r="C5" s="9"/>
      <c r="E5" s="24"/>
      <c r="F5" s="24"/>
      <c r="G5" s="24"/>
    </row>
    <row r="6" spans="1:14" x14ac:dyDescent="0.2">
      <c r="D6" s="4" t="s">
        <v>79</v>
      </c>
      <c r="E6" s="19"/>
      <c r="F6" s="19"/>
      <c r="G6" s="19"/>
    </row>
    <row r="7" spans="1:14" x14ac:dyDescent="0.2">
      <c r="A7" t="s">
        <v>3</v>
      </c>
      <c r="B7" t="s">
        <v>4</v>
      </c>
      <c r="C7" s="112" t="s">
        <v>5</v>
      </c>
      <c r="D7" t="s">
        <v>32</v>
      </c>
      <c r="E7" s="100" t="s">
        <v>6</v>
      </c>
      <c r="F7" s="101" t="s">
        <v>37</v>
      </c>
      <c r="G7" s="100" t="s">
        <v>7</v>
      </c>
    </row>
    <row r="8" spans="1:14" x14ac:dyDescent="0.2">
      <c r="C8" s="5"/>
    </row>
  </sheetData>
  <pageMargins left="0.7" right="0.7" top="0.75" bottom="0.75" header="0.3" footer="0.3"/>
  <pageSetup paperSize="9" scale="71" fitToHeight="1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9635-368B-4645-9FB4-ED8BF32523F5}">
  <sheetPr codeName="Tabelle11">
    <pageSetUpPr fitToPage="1"/>
  </sheetPr>
  <dimension ref="A1:P8"/>
  <sheetViews>
    <sheetView view="pageBreakPreview" zoomScaleNormal="100" zoomScaleSheetLayoutView="100" workbookViewId="0">
      <selection activeCell="I22" sqref="I22"/>
    </sheetView>
  </sheetViews>
  <sheetFormatPr baseColWidth="10" defaultRowHeight="15" x14ac:dyDescent="0.2"/>
  <cols>
    <col min="1" max="1" width="26.33203125" style="124" customWidth="1"/>
    <col min="2" max="2" width="9" style="82" customWidth="1"/>
    <col min="3" max="4" width="0" style="82" hidden="1" customWidth="1"/>
    <col min="5" max="5" width="14.5" style="19" bestFit="1" customWidth="1"/>
    <col min="6" max="6" width="14.5" style="19" hidden="1" customWidth="1"/>
    <col min="7" max="7" width="16.5" style="19" bestFit="1" customWidth="1"/>
    <col min="8" max="8" width="19.83203125" style="19" bestFit="1" customWidth="1"/>
    <col min="9" max="9" width="20" style="19" bestFit="1" customWidth="1"/>
    <col min="10" max="10" width="2.33203125" style="82" customWidth="1"/>
    <col min="11" max="16384" width="10.83203125" style="82"/>
  </cols>
  <sheetData>
    <row r="1" spans="1:16" ht="29" x14ac:dyDescent="0.35">
      <c r="A1" s="81" t="s">
        <v>95</v>
      </c>
      <c r="E1" s="83"/>
      <c r="F1" s="83"/>
      <c r="G1" s="83"/>
      <c r="H1" s="83"/>
      <c r="I1" s="83"/>
      <c r="K1" s="119" t="s">
        <v>97</v>
      </c>
    </row>
    <row r="2" spans="1:16" ht="19" x14ac:dyDescent="0.25">
      <c r="A2" s="84" t="s">
        <v>17</v>
      </c>
      <c r="E2" s="83"/>
      <c r="F2" s="83"/>
      <c r="G2" s="83"/>
      <c r="H2" s="83"/>
      <c r="I2" s="83"/>
      <c r="K2" s="120" t="s">
        <v>115</v>
      </c>
      <c r="P2" s="85"/>
    </row>
    <row r="3" spans="1:16" ht="19" x14ac:dyDescent="0.25">
      <c r="A3" s="86"/>
      <c r="E3" s="83"/>
      <c r="F3" s="83"/>
      <c r="G3" s="83"/>
      <c r="H3" s="83"/>
      <c r="I3" s="83"/>
      <c r="K3" s="120" t="s">
        <v>98</v>
      </c>
      <c r="P3" s="85"/>
    </row>
    <row r="4" spans="1:16" x14ac:dyDescent="0.2">
      <c r="A4" s="82"/>
      <c r="E4" s="83"/>
      <c r="F4" s="83"/>
      <c r="G4" s="83"/>
      <c r="H4" s="83"/>
      <c r="I4" s="83"/>
    </row>
    <row r="5" spans="1:16" s="84" customFormat="1" ht="29" x14ac:dyDescent="0.35">
      <c r="A5" s="81">
        <f>Zusammenfassung!A4</f>
        <v>2021</v>
      </c>
      <c r="E5" s="87"/>
      <c r="F5" s="87"/>
      <c r="G5" s="87"/>
      <c r="H5" s="87"/>
      <c r="I5" s="87"/>
    </row>
    <row r="6" spans="1:16" x14ac:dyDescent="0.2">
      <c r="A6" s="82"/>
      <c r="E6" s="83"/>
      <c r="F6" s="83"/>
      <c r="G6" s="83"/>
      <c r="H6" s="83"/>
      <c r="I6" s="83"/>
    </row>
    <row r="7" spans="1:16" x14ac:dyDescent="0.2">
      <c r="A7" s="82" t="s">
        <v>3</v>
      </c>
      <c r="B7" s="82" t="s">
        <v>4</v>
      </c>
      <c r="C7" s="82" t="s">
        <v>79</v>
      </c>
      <c r="D7" s="82" t="s">
        <v>93</v>
      </c>
      <c r="E7" s="83" t="s">
        <v>6</v>
      </c>
      <c r="F7" s="88" t="s">
        <v>94</v>
      </c>
      <c r="G7" s="83" t="s">
        <v>7</v>
      </c>
      <c r="H7" s="83" t="s">
        <v>8</v>
      </c>
      <c r="I7" s="83" t="s">
        <v>9</v>
      </c>
    </row>
    <row r="8" spans="1:16" x14ac:dyDescent="0.2">
      <c r="A8" s="113"/>
      <c r="B8"/>
      <c r="C8"/>
      <c r="D8"/>
      <c r="E8" s="18"/>
      <c r="F8" s="18"/>
      <c r="G8" s="18"/>
      <c r="H8" s="18"/>
      <c r="I8" s="18"/>
    </row>
  </sheetData>
  <pageMargins left="0.7" right="0.7" top="0.75" bottom="0.75" header="0.3" footer="0.3"/>
  <pageSetup paperSize="9" scale="77" fitToHeight="1000" orientation="portrait" horizontalDpi="0" verticalDpi="0"/>
  <headerFooter>
    <oddFooter>&amp;C&amp;K000000Anhang Seite &amp;P von &amp;N</oddFooter>
  </headerFooter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27FEB-D92A-6A45-8D79-4223A72A1DF2}">
  <sheetPr codeName="Tabelle8">
    <pageSetUpPr fitToPage="1"/>
  </sheetPr>
  <dimension ref="A1:M66"/>
  <sheetViews>
    <sheetView view="pageBreakPreview" zoomScaleNormal="102" zoomScaleSheetLayoutView="100" workbookViewId="0"/>
  </sheetViews>
  <sheetFormatPr baseColWidth="10" defaultRowHeight="15" x14ac:dyDescent="0.2"/>
  <cols>
    <col min="1" max="1" width="25" style="40" bestFit="1" customWidth="1"/>
    <col min="3" max="3" width="14.5" customWidth="1"/>
    <col min="4" max="4" width="14.83203125" customWidth="1"/>
    <col min="5" max="5" width="3.83203125" customWidth="1"/>
    <col min="6" max="6" width="16.33203125" customWidth="1"/>
    <col min="7" max="7" width="19" customWidth="1"/>
    <col min="8" max="8" width="11.5" bestFit="1" customWidth="1"/>
    <col min="9" max="9" width="17.5" style="37" customWidth="1"/>
    <col min="10" max="10" width="12.33203125" style="37" customWidth="1"/>
    <col min="11" max="11" width="14.5" style="37" customWidth="1"/>
  </cols>
  <sheetData>
    <row r="1" spans="1:13" ht="29" x14ac:dyDescent="0.35">
      <c r="A1" s="38" t="s">
        <v>19</v>
      </c>
    </row>
    <row r="2" spans="1:13" x14ac:dyDescent="0.2">
      <c r="A2" s="39" t="s">
        <v>20</v>
      </c>
    </row>
    <row r="3" spans="1:13" x14ac:dyDescent="0.2">
      <c r="A3" s="39"/>
    </row>
    <row r="4" spans="1:13" x14ac:dyDescent="0.2">
      <c r="A4" s="39"/>
    </row>
    <row r="5" spans="1:13" ht="29" x14ac:dyDescent="0.35">
      <c r="A5" s="38">
        <f>Zusammenfassung!A4</f>
        <v>2021</v>
      </c>
      <c r="M5" s="4" t="s">
        <v>61</v>
      </c>
    </row>
    <row r="6" spans="1:13" x14ac:dyDescent="0.2">
      <c r="I6" s="33"/>
      <c r="J6" s="33"/>
      <c r="K6" s="35"/>
      <c r="M6" s="4" t="s">
        <v>62</v>
      </c>
    </row>
    <row r="7" spans="1:13" x14ac:dyDescent="0.2">
      <c r="A7" s="40" t="s">
        <v>3</v>
      </c>
      <c r="B7" t="s">
        <v>4</v>
      </c>
      <c r="C7" t="s">
        <v>5</v>
      </c>
      <c r="D7" t="s">
        <v>10</v>
      </c>
      <c r="E7" t="s">
        <v>79</v>
      </c>
      <c r="F7" t="s">
        <v>13</v>
      </c>
      <c r="G7" t="s">
        <v>14</v>
      </c>
      <c r="H7" t="s">
        <v>0</v>
      </c>
      <c r="I7" s="33" t="s">
        <v>7</v>
      </c>
      <c r="J7" s="33" t="s">
        <v>11</v>
      </c>
      <c r="K7" s="35" t="s">
        <v>15</v>
      </c>
      <c r="M7" s="4" t="s">
        <v>63</v>
      </c>
    </row>
    <row r="8" spans="1:13" ht="17" thickBot="1" x14ac:dyDescent="0.25">
      <c r="A8" s="30"/>
      <c r="C8" s="29"/>
      <c r="D8" s="5"/>
      <c r="E8" s="5"/>
      <c r="H8" s="13"/>
      <c r="I8" s="34"/>
      <c r="J8" s="34"/>
      <c r="K8" s="34"/>
    </row>
    <row r="9" spans="1:13" ht="16" thickTop="1" x14ac:dyDescent="0.2">
      <c r="A9" s="71"/>
      <c r="B9" s="72"/>
      <c r="C9" s="73"/>
      <c r="D9" s="73"/>
      <c r="E9" s="73"/>
      <c r="F9" s="72"/>
      <c r="G9" s="72"/>
      <c r="H9" s="72"/>
      <c r="I9" s="74"/>
      <c r="J9" s="74"/>
      <c r="K9" s="74"/>
      <c r="M9" t="s">
        <v>80</v>
      </c>
    </row>
    <row r="10" spans="1:13" x14ac:dyDescent="0.2">
      <c r="A10" s="4" t="s">
        <v>38</v>
      </c>
      <c r="B10" s="4"/>
      <c r="C10" s="75"/>
      <c r="D10" s="75"/>
      <c r="E10" s="75"/>
      <c r="F10" s="4"/>
      <c r="G10" s="4"/>
      <c r="H10" s="4"/>
      <c r="I10" s="76">
        <v>0</v>
      </c>
      <c r="J10" s="76">
        <v>0</v>
      </c>
      <c r="K10" s="77">
        <f>J10</f>
        <v>0</v>
      </c>
      <c r="L10" s="4"/>
    </row>
    <row r="11" spans="1:13" x14ac:dyDescent="0.2">
      <c r="A11" s="4" t="s">
        <v>39</v>
      </c>
      <c r="B11" s="4"/>
      <c r="C11" s="75"/>
      <c r="D11" s="75"/>
      <c r="E11" s="75"/>
      <c r="F11" s="4"/>
      <c r="G11" s="4"/>
      <c r="H11" s="4"/>
      <c r="I11" s="78">
        <v>0</v>
      </c>
      <c r="J11" s="78">
        <v>0</v>
      </c>
      <c r="K11" s="78">
        <f>I11</f>
        <v>0</v>
      </c>
      <c r="L11" s="4"/>
    </row>
    <row r="12" spans="1:13" x14ac:dyDescent="0.2">
      <c r="A12" s="4" t="s">
        <v>81</v>
      </c>
      <c r="B12" s="4"/>
      <c r="C12" s="75"/>
      <c r="D12" s="75"/>
      <c r="E12" s="75"/>
      <c r="F12" s="4"/>
      <c r="G12" s="4"/>
      <c r="H12" s="4"/>
      <c r="I12" s="78"/>
      <c r="J12" s="78"/>
      <c r="K12" s="78">
        <v>0</v>
      </c>
    </row>
    <row r="13" spans="1:13" ht="16" x14ac:dyDescent="0.2">
      <c r="A13" s="30" t="s">
        <v>82</v>
      </c>
      <c r="C13" s="29"/>
      <c r="D13" s="5"/>
      <c r="E13" s="5"/>
      <c r="H13" s="13"/>
      <c r="I13" s="34"/>
      <c r="J13" s="34"/>
      <c r="K13" s="78">
        <v>0</v>
      </c>
      <c r="L13" t="s">
        <v>84</v>
      </c>
    </row>
    <row r="14" spans="1:13" ht="16" x14ac:dyDescent="0.2">
      <c r="A14" s="30" t="s">
        <v>83</v>
      </c>
      <c r="C14" s="29"/>
      <c r="D14" s="5"/>
      <c r="E14" s="5"/>
      <c r="H14" s="13"/>
      <c r="I14" s="34"/>
      <c r="J14" s="34"/>
      <c r="K14" s="48">
        <f>K10-K13</f>
        <v>0</v>
      </c>
    </row>
    <row r="15" spans="1:13" ht="16" x14ac:dyDescent="0.2">
      <c r="A15" s="30"/>
      <c r="C15" s="29"/>
      <c r="D15" s="5"/>
      <c r="E15" s="5"/>
      <c r="H15" s="13"/>
      <c r="I15" s="34"/>
      <c r="J15" s="34"/>
      <c r="K15" s="34"/>
    </row>
    <row r="16" spans="1:13" ht="16" x14ac:dyDescent="0.2">
      <c r="A16" s="30"/>
      <c r="C16" s="29"/>
      <c r="D16" s="5"/>
      <c r="E16" s="5"/>
      <c r="H16" s="13"/>
      <c r="I16" s="34"/>
      <c r="J16" s="34"/>
      <c r="K16" s="34"/>
    </row>
    <row r="17" spans="1:11" ht="16" x14ac:dyDescent="0.2">
      <c r="A17" s="30"/>
      <c r="C17" s="29"/>
      <c r="D17" s="5"/>
      <c r="E17" s="5"/>
      <c r="H17" s="13"/>
      <c r="I17" s="34"/>
      <c r="J17" s="34"/>
      <c r="K17" s="34"/>
    </row>
    <row r="18" spans="1:11" ht="16" x14ac:dyDescent="0.2">
      <c r="A18" s="30"/>
      <c r="C18" s="29"/>
      <c r="D18" s="5"/>
      <c r="E18" s="5"/>
      <c r="H18" s="13"/>
      <c r="I18" s="34"/>
      <c r="J18" s="34"/>
      <c r="K18" s="34"/>
    </row>
    <row r="19" spans="1:11" ht="16" x14ac:dyDescent="0.2">
      <c r="A19" s="30"/>
      <c r="C19" s="29"/>
      <c r="D19" s="5"/>
      <c r="E19" s="5"/>
      <c r="H19" s="13"/>
      <c r="I19" s="34"/>
      <c r="J19" s="34"/>
      <c r="K19" s="34"/>
    </row>
    <row r="20" spans="1:11" ht="16" x14ac:dyDescent="0.2">
      <c r="A20" s="30"/>
      <c r="C20" s="29"/>
      <c r="D20" s="5"/>
      <c r="E20" s="5"/>
      <c r="H20" s="13"/>
      <c r="I20" s="34"/>
      <c r="J20" s="34"/>
      <c r="K20" s="34"/>
    </row>
    <row r="21" spans="1:11" ht="16" x14ac:dyDescent="0.2">
      <c r="A21" s="30"/>
      <c r="C21" s="29"/>
      <c r="D21" s="5"/>
      <c r="E21" s="5"/>
      <c r="H21" s="13"/>
      <c r="I21" s="34"/>
      <c r="J21" s="34"/>
      <c r="K21" s="34"/>
    </row>
    <row r="22" spans="1:11" ht="16" x14ac:dyDescent="0.2">
      <c r="A22" s="30"/>
      <c r="C22" s="29"/>
      <c r="D22" s="5"/>
      <c r="E22" s="5"/>
      <c r="H22" s="13"/>
      <c r="I22" s="34"/>
      <c r="J22" s="34"/>
      <c r="K22" s="34"/>
    </row>
    <row r="23" spans="1:11" ht="16" x14ac:dyDescent="0.2">
      <c r="A23" s="30"/>
      <c r="C23" s="29"/>
      <c r="D23" s="5"/>
      <c r="E23" s="5"/>
      <c r="H23" s="13"/>
      <c r="I23" s="34"/>
      <c r="J23" s="34"/>
      <c r="K23" s="34"/>
    </row>
    <row r="24" spans="1:11" ht="16" x14ac:dyDescent="0.2">
      <c r="A24" s="30"/>
      <c r="C24" s="29"/>
      <c r="D24" s="5"/>
      <c r="E24" s="5"/>
      <c r="H24" s="13"/>
      <c r="I24" s="34"/>
      <c r="J24" s="34"/>
      <c r="K24" s="34"/>
    </row>
    <row r="25" spans="1:11" ht="16" x14ac:dyDescent="0.2">
      <c r="A25" s="30"/>
      <c r="C25" s="29"/>
      <c r="D25" s="5"/>
      <c r="E25" s="5"/>
      <c r="H25" s="13"/>
      <c r="I25" s="34"/>
      <c r="J25" s="34"/>
      <c r="K25" s="34"/>
    </row>
    <row r="26" spans="1:11" ht="16" x14ac:dyDescent="0.2">
      <c r="A26" s="30"/>
      <c r="C26" s="29"/>
      <c r="D26" s="5"/>
      <c r="E26" s="5"/>
      <c r="H26" s="13"/>
      <c r="I26" s="34"/>
      <c r="J26" s="34"/>
      <c r="K26" s="34"/>
    </row>
    <row r="27" spans="1:11" ht="16" x14ac:dyDescent="0.2">
      <c r="A27" s="30"/>
      <c r="C27" s="29"/>
      <c r="D27" s="5"/>
      <c r="E27" s="5"/>
      <c r="H27" s="13"/>
      <c r="I27" s="34"/>
      <c r="J27" s="34"/>
      <c r="K27" s="34"/>
    </row>
    <row r="28" spans="1:11" ht="16" x14ac:dyDescent="0.2">
      <c r="A28" s="30"/>
      <c r="C28" s="29"/>
      <c r="D28" s="5"/>
      <c r="E28" s="5"/>
      <c r="H28" s="13"/>
      <c r="I28" s="34"/>
      <c r="J28" s="34"/>
      <c r="K28" s="34"/>
    </row>
    <row r="29" spans="1:11" ht="16" x14ac:dyDescent="0.2">
      <c r="A29" s="30"/>
      <c r="C29" s="29"/>
      <c r="D29" s="5"/>
      <c r="E29" s="5"/>
      <c r="H29" s="13"/>
      <c r="I29" s="34"/>
      <c r="J29" s="34"/>
      <c r="K29" s="34"/>
    </row>
    <row r="30" spans="1:11" ht="16" x14ac:dyDescent="0.2">
      <c r="A30" s="30"/>
      <c r="C30" s="29"/>
      <c r="D30" s="5"/>
      <c r="E30" s="5"/>
      <c r="H30" s="13"/>
      <c r="I30" s="34"/>
      <c r="J30" s="34"/>
      <c r="K30" s="34"/>
    </row>
    <row r="31" spans="1:11" ht="16" x14ac:dyDescent="0.2">
      <c r="A31" s="30"/>
      <c r="C31" s="29"/>
      <c r="D31" s="5"/>
      <c r="E31" s="5"/>
      <c r="H31" s="13"/>
      <c r="I31" s="34"/>
      <c r="J31" s="34"/>
      <c r="K31" s="34"/>
    </row>
    <row r="32" spans="1:11" ht="16" x14ac:dyDescent="0.2">
      <c r="A32" s="30"/>
      <c r="C32" s="29"/>
      <c r="D32" s="5"/>
      <c r="E32" s="5"/>
      <c r="H32" s="13"/>
      <c r="I32" s="34"/>
      <c r="J32" s="34"/>
      <c r="K32" s="34"/>
    </row>
    <row r="33" spans="1:11" ht="16" x14ac:dyDescent="0.2">
      <c r="A33" s="30"/>
      <c r="C33" s="29"/>
      <c r="D33" s="5"/>
      <c r="E33" s="5"/>
      <c r="H33" s="13"/>
      <c r="I33" s="34"/>
      <c r="J33" s="34"/>
      <c r="K33" s="34"/>
    </row>
    <row r="34" spans="1:11" ht="16" x14ac:dyDescent="0.2">
      <c r="A34" s="30"/>
      <c r="C34" s="29"/>
      <c r="D34" s="5"/>
      <c r="E34" s="5"/>
      <c r="H34" s="13"/>
      <c r="I34" s="34"/>
      <c r="J34" s="34"/>
      <c r="K34" s="34"/>
    </row>
    <row r="35" spans="1:11" ht="16" x14ac:dyDescent="0.2">
      <c r="A35" s="30"/>
      <c r="C35" s="29"/>
      <c r="D35" s="5"/>
      <c r="E35" s="5"/>
      <c r="H35" s="13"/>
      <c r="I35" s="34"/>
      <c r="J35" s="34"/>
      <c r="K35" s="34"/>
    </row>
    <row r="36" spans="1:11" ht="16" x14ac:dyDescent="0.2">
      <c r="A36" s="30"/>
      <c r="C36" s="29"/>
      <c r="D36" s="5"/>
      <c r="E36" s="5"/>
      <c r="H36" s="13"/>
      <c r="I36" s="34"/>
      <c r="J36" s="34"/>
      <c r="K36" s="34"/>
    </row>
    <row r="37" spans="1:11" ht="16" x14ac:dyDescent="0.2">
      <c r="A37" s="30"/>
      <c r="C37" s="29"/>
      <c r="D37" s="5"/>
      <c r="E37" s="5"/>
      <c r="H37" s="13"/>
      <c r="I37" s="34"/>
      <c r="J37" s="34"/>
      <c r="K37" s="34"/>
    </row>
    <row r="38" spans="1:11" ht="16" x14ac:dyDescent="0.2">
      <c r="A38" s="30"/>
      <c r="C38" s="29"/>
      <c r="D38" s="5"/>
      <c r="E38" s="5"/>
      <c r="H38" s="13"/>
      <c r="I38" s="34"/>
      <c r="J38" s="34"/>
      <c r="K38" s="34"/>
    </row>
    <row r="39" spans="1:11" ht="16" x14ac:dyDescent="0.2">
      <c r="A39" s="30"/>
      <c r="C39" s="29"/>
      <c r="D39" s="5"/>
      <c r="E39" s="5"/>
      <c r="H39" s="13"/>
      <c r="I39" s="34"/>
      <c r="J39" s="34"/>
      <c r="K39" s="34"/>
    </row>
    <row r="40" spans="1:11" ht="16" x14ac:dyDescent="0.2">
      <c r="A40" s="30"/>
      <c r="C40" s="29"/>
      <c r="D40" s="5"/>
      <c r="E40" s="5"/>
      <c r="H40" s="13"/>
      <c r="I40" s="34"/>
      <c r="J40" s="34"/>
      <c r="K40" s="34"/>
    </row>
    <row r="41" spans="1:11" ht="16" x14ac:dyDescent="0.2">
      <c r="A41" s="30"/>
      <c r="C41" s="29"/>
      <c r="D41" s="5"/>
      <c r="E41" s="5"/>
      <c r="H41" s="13"/>
      <c r="I41" s="34"/>
      <c r="J41" s="34"/>
      <c r="K41" s="34"/>
    </row>
    <row r="42" spans="1:11" ht="16" x14ac:dyDescent="0.2">
      <c r="A42" s="30"/>
      <c r="C42" s="29"/>
      <c r="D42" s="5"/>
      <c r="E42" s="5"/>
      <c r="H42" s="13"/>
      <c r="I42" s="34"/>
      <c r="J42" s="34"/>
      <c r="K42" s="34"/>
    </row>
    <row r="43" spans="1:11" ht="16" x14ac:dyDescent="0.2">
      <c r="A43" s="30"/>
      <c r="C43" s="29"/>
      <c r="D43" s="5"/>
      <c r="E43" s="5"/>
      <c r="H43" s="13"/>
      <c r="I43" s="34"/>
      <c r="J43" s="34"/>
      <c r="K43" s="34"/>
    </row>
    <row r="44" spans="1:11" ht="16" x14ac:dyDescent="0.2">
      <c r="A44" s="30"/>
      <c r="C44" s="29"/>
      <c r="D44" s="5"/>
      <c r="E44" s="5"/>
      <c r="H44" s="13"/>
      <c r="I44" s="34"/>
      <c r="J44" s="34"/>
      <c r="K44" s="34"/>
    </row>
    <row r="45" spans="1:11" ht="16" x14ac:dyDescent="0.2">
      <c r="A45" s="30"/>
      <c r="C45" s="29"/>
      <c r="D45" s="5"/>
      <c r="E45" s="5"/>
      <c r="H45" s="13"/>
      <c r="I45" s="34"/>
      <c r="J45" s="34"/>
      <c r="K45" s="34"/>
    </row>
    <row r="46" spans="1:11" ht="16" x14ac:dyDescent="0.2">
      <c r="A46" s="30"/>
      <c r="C46" s="29"/>
      <c r="D46" s="5"/>
      <c r="E46" s="5"/>
      <c r="H46" s="13"/>
      <c r="I46" s="34"/>
      <c r="J46" s="34"/>
      <c r="K46" s="34"/>
    </row>
    <row r="47" spans="1:11" ht="16" x14ac:dyDescent="0.2">
      <c r="A47" s="30"/>
      <c r="C47" s="29"/>
      <c r="D47" s="5"/>
      <c r="E47" s="5"/>
      <c r="H47" s="13"/>
      <c r="I47" s="34"/>
      <c r="J47" s="34"/>
      <c r="K47" s="34"/>
    </row>
    <row r="48" spans="1:11" ht="16" x14ac:dyDescent="0.2">
      <c r="A48" s="30"/>
      <c r="C48" s="29"/>
      <c r="D48" s="5"/>
      <c r="E48" s="5"/>
      <c r="H48" s="13"/>
      <c r="I48" s="34"/>
      <c r="J48" s="34"/>
      <c r="K48" s="34"/>
    </row>
    <row r="49" spans="1:11" ht="16" x14ac:dyDescent="0.2">
      <c r="A49" s="30"/>
      <c r="C49" s="29"/>
      <c r="D49" s="5"/>
      <c r="E49" s="5"/>
      <c r="H49" s="13"/>
      <c r="I49" s="34"/>
      <c r="J49" s="34"/>
      <c r="K49" s="34"/>
    </row>
    <row r="50" spans="1:11" ht="16" x14ac:dyDescent="0.2">
      <c r="A50" s="30"/>
      <c r="C50" s="29"/>
      <c r="D50" s="5"/>
      <c r="E50" s="5"/>
      <c r="H50" s="13"/>
      <c r="I50" s="34"/>
      <c r="J50" s="34"/>
      <c r="K50" s="34"/>
    </row>
    <row r="51" spans="1:11" ht="16" x14ac:dyDescent="0.2">
      <c r="A51" s="30"/>
      <c r="C51" s="29"/>
      <c r="D51" s="5"/>
      <c r="E51" s="5"/>
      <c r="H51" s="13"/>
      <c r="I51" s="34"/>
      <c r="J51" s="34"/>
      <c r="K51" s="34"/>
    </row>
    <row r="52" spans="1:11" ht="16" x14ac:dyDescent="0.2">
      <c r="A52" s="30"/>
      <c r="C52" s="29"/>
      <c r="D52" s="5"/>
      <c r="E52" s="5"/>
      <c r="H52" s="13"/>
      <c r="I52" s="34"/>
      <c r="J52" s="34"/>
      <c r="K52" s="34"/>
    </row>
    <row r="53" spans="1:11" ht="16" x14ac:dyDescent="0.2">
      <c r="A53" s="30"/>
      <c r="C53" s="29"/>
      <c r="D53" s="5"/>
      <c r="E53" s="5"/>
      <c r="H53" s="13"/>
      <c r="I53" s="34"/>
      <c r="J53" s="34"/>
      <c r="K53" s="34"/>
    </row>
    <row r="54" spans="1:11" ht="16" x14ac:dyDescent="0.2">
      <c r="A54" s="30"/>
      <c r="C54" s="29"/>
      <c r="D54" s="5"/>
      <c r="E54" s="5"/>
      <c r="H54" s="13"/>
      <c r="I54" s="34"/>
      <c r="J54" s="34"/>
      <c r="K54" s="34"/>
    </row>
    <row r="55" spans="1:11" ht="16" x14ac:dyDescent="0.2">
      <c r="A55" s="30"/>
      <c r="C55" s="29"/>
      <c r="D55" s="5"/>
      <c r="E55" s="5"/>
      <c r="H55" s="13"/>
      <c r="I55" s="34"/>
      <c r="J55" s="34"/>
      <c r="K55" s="34"/>
    </row>
    <row r="56" spans="1:11" ht="16" x14ac:dyDescent="0.2">
      <c r="A56" s="30"/>
      <c r="C56" s="29"/>
      <c r="D56" s="5"/>
      <c r="E56" s="5"/>
      <c r="H56" s="13"/>
      <c r="I56" s="34"/>
      <c r="J56" s="34"/>
      <c r="K56" s="34"/>
    </row>
    <row r="57" spans="1:11" ht="16" x14ac:dyDescent="0.2">
      <c r="A57" s="30"/>
      <c r="C57" s="29"/>
      <c r="D57" s="5"/>
      <c r="E57" s="5"/>
      <c r="H57" s="13"/>
      <c r="I57" s="34"/>
      <c r="J57" s="34"/>
      <c r="K57" s="34"/>
    </row>
    <row r="58" spans="1:11" ht="16" x14ac:dyDescent="0.2">
      <c r="A58" s="30"/>
      <c r="C58" s="29"/>
      <c r="D58" s="5"/>
      <c r="E58" s="5"/>
      <c r="H58" s="13"/>
      <c r="I58" s="34"/>
      <c r="J58" s="34"/>
      <c r="K58" s="34"/>
    </row>
    <row r="59" spans="1:11" ht="16" x14ac:dyDescent="0.2">
      <c r="A59" s="30"/>
      <c r="C59" s="29"/>
      <c r="H59" s="13"/>
      <c r="I59" s="34"/>
      <c r="J59" s="34"/>
      <c r="K59" s="34"/>
    </row>
    <row r="60" spans="1:11" ht="16" x14ac:dyDescent="0.2">
      <c r="A60" s="30"/>
      <c r="C60" s="29"/>
      <c r="H60" s="13"/>
      <c r="I60" s="34"/>
      <c r="J60" s="34"/>
      <c r="K60" s="34"/>
    </row>
    <row r="61" spans="1:11" ht="16" x14ac:dyDescent="0.2">
      <c r="A61" s="30"/>
      <c r="C61" s="29"/>
      <c r="H61" s="13"/>
      <c r="I61" s="34"/>
      <c r="J61" s="34"/>
      <c r="K61" s="34"/>
    </row>
    <row r="62" spans="1:11" ht="16" x14ac:dyDescent="0.2">
      <c r="A62" s="30"/>
      <c r="C62" s="29"/>
      <c r="H62" s="13"/>
      <c r="I62" s="34"/>
      <c r="J62" s="34"/>
      <c r="K62" s="34"/>
    </row>
    <row r="63" spans="1:11" ht="16" x14ac:dyDescent="0.2">
      <c r="A63" s="30"/>
      <c r="C63" s="29"/>
      <c r="H63" s="13"/>
      <c r="I63" s="34"/>
      <c r="J63" s="34"/>
      <c r="K63" s="34"/>
    </row>
    <row r="64" spans="1:11" ht="16" x14ac:dyDescent="0.2">
      <c r="A64" s="30"/>
      <c r="C64" s="29"/>
      <c r="H64" s="13"/>
      <c r="I64" s="34"/>
      <c r="J64" s="34"/>
      <c r="K64" s="34"/>
    </row>
    <row r="65" spans="1:11" ht="16" x14ac:dyDescent="0.2">
      <c r="A65" s="30"/>
      <c r="C65" s="29"/>
      <c r="H65" s="13"/>
      <c r="I65" s="34"/>
      <c r="J65" s="34"/>
      <c r="K65" s="34"/>
    </row>
    <row r="66" spans="1:11" ht="16" x14ac:dyDescent="0.2">
      <c r="A66" s="30"/>
      <c r="C66" s="29"/>
      <c r="H66" s="13"/>
      <c r="I66" s="34"/>
      <c r="J66" s="34"/>
      <c r="K66" s="34"/>
    </row>
  </sheetData>
  <pageMargins left="0.7" right="0.7" top="0.75" bottom="0.75" header="0.3" footer="0.3"/>
  <pageSetup paperSize="9" scale="51" fitToHeight="100" orientation="portrait" horizontalDpi="0" verticalDpi="0"/>
  <headerFooter>
    <oddFooter>&amp;C&amp;K000000Anhang Seite &amp;P von &amp;N</oddFooter>
  </headerFooter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1441A-075F-2E4B-B08F-EA1DE2AD3721}">
  <sheetPr codeName="Tabelle9">
    <tabColor rgb="FF92D050"/>
    <pageSetUpPr fitToPage="1"/>
  </sheetPr>
  <dimension ref="A1:L8"/>
  <sheetViews>
    <sheetView view="pageBreakPreview" zoomScale="90" zoomScaleNormal="100" zoomScaleSheetLayoutView="90" workbookViewId="0">
      <selection activeCell="A13" sqref="A13"/>
    </sheetView>
  </sheetViews>
  <sheetFormatPr baseColWidth="10" defaultRowHeight="15" x14ac:dyDescent="0.2"/>
  <cols>
    <col min="1" max="1" width="13.6640625" customWidth="1"/>
    <col min="2" max="2" width="18" customWidth="1"/>
    <col min="4" max="4" width="15.33203125" customWidth="1"/>
    <col min="5" max="5" width="23" bestFit="1" customWidth="1"/>
    <col min="6" max="6" width="11.1640625" bestFit="1" customWidth="1"/>
    <col min="7" max="7" width="15" customWidth="1"/>
    <col min="8" max="8" width="20.5" bestFit="1" customWidth="1"/>
    <col min="9" max="9" width="43.33203125" bestFit="1" customWidth="1"/>
    <col min="10" max="10" width="27.33203125" bestFit="1" customWidth="1"/>
    <col min="11" max="11" width="16" customWidth="1"/>
  </cols>
  <sheetData>
    <row r="1" spans="1:12" ht="29" x14ac:dyDescent="0.35">
      <c r="A1" s="3" t="s">
        <v>18</v>
      </c>
      <c r="B1" s="3"/>
      <c r="C1" s="3"/>
      <c r="D1" s="3"/>
      <c r="E1" s="4"/>
      <c r="F1" s="4"/>
      <c r="G1" s="41"/>
      <c r="H1" s="4"/>
      <c r="I1" s="4"/>
      <c r="J1" s="4"/>
    </row>
    <row r="2" spans="1:12" x14ac:dyDescent="0.2">
      <c r="A2" s="8" t="s">
        <v>21</v>
      </c>
      <c r="B2" s="8"/>
      <c r="C2" s="8"/>
      <c r="D2" s="8"/>
      <c r="E2" s="8"/>
      <c r="F2" s="8"/>
      <c r="G2" s="41"/>
      <c r="H2" s="4"/>
      <c r="I2" s="4"/>
      <c r="J2" s="4"/>
    </row>
    <row r="3" spans="1:12" x14ac:dyDescent="0.2">
      <c r="A3" s="8" t="s">
        <v>40</v>
      </c>
      <c r="B3" s="8"/>
      <c r="C3" s="8"/>
      <c r="D3" s="8"/>
      <c r="E3" s="8"/>
      <c r="F3" s="8"/>
      <c r="G3" s="8"/>
      <c r="H3" s="8"/>
      <c r="I3" s="8"/>
      <c r="J3" s="4"/>
    </row>
    <row r="4" spans="1:12" x14ac:dyDescent="0.2">
      <c r="A4" s="8"/>
      <c r="B4" s="8"/>
      <c r="C4" s="8"/>
      <c r="D4" s="8"/>
      <c r="E4" s="8"/>
      <c r="F4" s="8"/>
      <c r="G4" s="8"/>
      <c r="H4" s="8"/>
      <c r="I4" s="8"/>
      <c r="J4" s="4"/>
    </row>
    <row r="5" spans="1:12" ht="29" x14ac:dyDescent="0.35">
      <c r="A5" s="38" t="s">
        <v>49</v>
      </c>
      <c r="B5" s="8"/>
      <c r="C5" s="8"/>
      <c r="D5" s="8"/>
      <c r="E5" s="8"/>
      <c r="F5" s="8"/>
      <c r="G5" s="8"/>
      <c r="H5" s="8"/>
      <c r="I5" s="8"/>
      <c r="J5" s="4"/>
    </row>
    <row r="6" spans="1:12" x14ac:dyDescent="0.2">
      <c r="A6" s="4"/>
      <c r="B6" s="4"/>
      <c r="C6" s="4"/>
      <c r="D6" s="41"/>
      <c r="E6" s="4"/>
      <c r="F6" s="4"/>
      <c r="G6" s="41"/>
      <c r="H6" s="4"/>
      <c r="I6" s="4"/>
      <c r="J6" s="4"/>
      <c r="L6" s="4"/>
    </row>
    <row r="7" spans="1:12" x14ac:dyDescent="0.2">
      <c r="A7" s="25" t="s">
        <v>0</v>
      </c>
      <c r="B7" s="26" t="s">
        <v>1</v>
      </c>
      <c r="C7" s="26" t="s">
        <v>4</v>
      </c>
      <c r="D7" s="27" t="s">
        <v>44</v>
      </c>
      <c r="E7" s="26" t="s">
        <v>2</v>
      </c>
      <c r="F7" s="26" t="s">
        <v>31</v>
      </c>
      <c r="G7" s="27" t="s">
        <v>45</v>
      </c>
      <c r="H7" s="28" t="s">
        <v>46</v>
      </c>
      <c r="I7" s="28" t="s">
        <v>47</v>
      </c>
      <c r="J7" s="4" t="s">
        <v>26</v>
      </c>
      <c r="K7" s="42" t="s">
        <v>48</v>
      </c>
      <c r="L7" s="4"/>
    </row>
    <row r="8" spans="1:12" x14ac:dyDescent="0.2">
      <c r="B8" s="113"/>
      <c r="D8" s="18"/>
      <c r="E8" s="113"/>
      <c r="G8" s="18"/>
    </row>
  </sheetData>
  <pageMargins left="0.7" right="0.7" top="0.78740157499999996" bottom="0.78740157499999996" header="0.3" footer="0.3"/>
  <pageSetup paperSize="9" scale="38" fitToHeight="100" orientation="portrait" horizontalDpi="0" verticalDpi="0"/>
  <headerFooter>
    <oddFooter>&amp;C&amp;K000000Anhang Seite &amp;P von &amp;N</oddFooter>
  </headerFooter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Zusammenfassung</vt:lpstr>
      <vt:lpstr>Exchange Liste</vt:lpstr>
      <vt:lpstr>Kapitalertragsbericht - Verkäuf</vt:lpstr>
      <vt:lpstr>Fehlende Anschaffungen</vt:lpstr>
      <vt:lpstr>Einkommensbericht</vt:lpstr>
      <vt:lpstr>Spenden_Schenkungen</vt:lpstr>
      <vt:lpstr>Gebühren</vt:lpstr>
      <vt:lpstr>Gestohlen_Verloren</vt:lpstr>
      <vt:lpstr>Nicht verkaufte Positionen</vt:lpstr>
      <vt:lpstr>Nicht verkaufte Datum</vt:lpstr>
      <vt:lpstr>Nicht verkaufte gruppiert</vt:lpstr>
      <vt:lpstr>Termingeschäfte</vt:lpstr>
      <vt:lpstr>Transaktionsliste</vt:lpstr>
      <vt:lpstr>Einkommensbericht!Print_Area</vt:lpstr>
      <vt:lpstr>'Fehlende Anschaffungen'!Print_Area</vt:lpstr>
      <vt:lpstr>Gebühren!Print_Area</vt:lpstr>
      <vt:lpstr>Gestohlen_Verloren!Print_Area</vt:lpstr>
      <vt:lpstr>'Kapitalertragsbericht - Verkäuf'!Print_Area</vt:lpstr>
      <vt:lpstr>'Nicht verkaufte Datum'!Print_Area</vt:lpstr>
      <vt:lpstr>'Nicht verkaufte gruppiert'!Print_Area</vt:lpstr>
      <vt:lpstr>'Nicht verkaufte Positionen'!Print_Area</vt:lpstr>
      <vt:lpstr>Spenden_Schenkungen!Print_Area</vt:lpstr>
      <vt:lpstr>Termingeschäfte!Print_Area</vt:lpstr>
      <vt:lpstr>Transaktionsliste!Print_Area</vt:lpstr>
      <vt:lpstr>Einkommensbericht!Print_Titles</vt:lpstr>
      <vt:lpstr>'Fehlende Anschaffungen'!Print_Titles</vt:lpstr>
      <vt:lpstr>Gebühren!Print_Titles</vt:lpstr>
      <vt:lpstr>Gestohlen_Verloren!Print_Titles</vt:lpstr>
      <vt:lpstr>'Kapitalertragsbericht - Verkäuf'!Print_Titles</vt:lpstr>
      <vt:lpstr>'Nicht verkaufte Datum'!Print_Titles</vt:lpstr>
      <vt:lpstr>'Nicht verkaufte gruppiert'!Print_Titles</vt:lpstr>
      <vt:lpstr>'Nicht verkaufte Positionen'!Print_Titles</vt:lpstr>
      <vt:lpstr>Spenden_Schenkungen!Print_Titles</vt:lpstr>
      <vt:lpstr>Termingeschäfte!Print_Titles</vt:lpstr>
      <vt:lpstr>Transaktionsliste!Print_Titles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Alec  Eastman</cp:lastModifiedBy>
  <cp:lastPrinted>2021-09-27T12:33:30Z</cp:lastPrinted>
  <dcterms:created xsi:type="dcterms:W3CDTF">2021-10-20T14:58:32Z</dcterms:created>
  <dcterms:modified xsi:type="dcterms:W3CDTF">2023-01-18T16:01:53Z</dcterms:modified>
</cp:coreProperties>
</file>